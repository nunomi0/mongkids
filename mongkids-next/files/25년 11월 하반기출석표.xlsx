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정민\Desktop\"/>
    </mc:Choice>
  </mc:AlternateContent>
  <x:bookViews>
    <x:workbookView xWindow="0" yWindow="0" windowWidth="28545" windowHeight="11700" tabRatio="601" activeTab="4"/>
  </x:bookViews>
  <x:sheets>
    <x:sheet name="월" sheetId="1" r:id="rId4"/>
    <x:sheet name="화" sheetId="2" r:id="rId5"/>
    <x:sheet name="수" sheetId="3" r:id="rId6"/>
    <x:sheet name="목" sheetId="4" r:id="rId7"/>
    <x:sheet name="금" sheetId="5" r:id="rId8"/>
    <x:sheet name="토" sheetId="6" r:id="rId9"/>
    <x:sheet name="일" sheetId="7" r:id="rId10"/>
    <x:sheet name="11월 미결제 현황" sheetId="8" r:id="rId11"/>
    <x:sheet name="Sheet1" sheetId="9" r:id="rId12"/>
    <x:sheet name="Sheet2" sheetId="10" r:id="rId13"/>
    <x:sheet name="Sheet3" sheetId="11" r:id="rId14"/>
  </x:sheets>
  <x:definedNames>
    <x:definedName name="_xlnm._FilterDatabase" localSheetId="7" hidden="1">'11월 미결제 현황'!$A$1:$I$1</x:definedName>
    <x:definedName name="_xlnm._FilterDatabase" localSheetId="8" hidden="1">Sheet1!$A$1:$D$1</x:definedName>
    <x:definedName name="_xlnm._FilterDatabase" localSheetId="9" hidden="1">Sheet2!$B$1:$D$1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6:B26" authorId="0">
      <x:text>
        <x:r>
          <x:rPr>
            <x:rFont val="굴림"/>
            <x:sz val="10"/>
            <x:color rgb="ff000000"/>
            <x:b val="1"/>
          </x:rPr>
          <x:t xml:space="preserve">한유진: </x:t>
        </x:r>
        <x:r>
          <x:rPr>
            <x:rFont val="굴림"/>
            <x:sz val="10"/>
            <x:color rgb="ff000000"/>
          </x:rPr>
          <x:t xml:space="preserve">민준, 자폐성. 키가 크고, 하려는 의지가 있어서 생각보다 어려워 하지 않음. 
소통이 어려울수 있음. 
-과한 칭찬과 격려가 필요함. 
-수학적 지능이 좋은 편이라 루트 탈때도 번호 찾는걸 좋아함 
- 올라가는건 아직 어려워하는편. 
등이 많이 굽어있고 하체근력이 부족함
</x:t>
        </x:r>
      </x:text>
    </x:comment>
    <x:comment ref="B28:B28" authorId="0">
      <x:text>
        <x:r>
          <x:rPr>
            <x:rFont val="굴림"/>
            <x:sz val="12"/>
            <x:color rgb="ff000000"/>
          </x:rPr>
          <x:t>차량번호
0433</x:t>
        </x:r>
      </x:text>
    </x:comment>
    <x:comment ref="I46:I46" authorId="0">
      <x:text>
        <x:r>
          <x:rPr>
            <x:rFont val="굴림"/>
            <x:sz val="11"/>
            <x:color rgb="ff000000"/>
            <x:b val="1"/>
          </x:rPr>
          <x:t>이주현:
7/6 (일) 17:00</x:t>
        </x:r>
      </x:text>
    </x:comment>
    <x:comment ref="K46:K46" authorId="0">
      <x:text>
        <x:r>
          <x:rPr>
            <x:rFont val="굴림"/>
            <x:sz val="11"/>
            <x:color rgb="ff000000"/>
            <x:b val="1"/>
          </x:rPr>
          <x:t>7/18 - 19:00</x:t>
        </x:r>
      </x:text>
    </x:comment>
    <x:comment ref="K47:K47" authorId="0">
      <x:text>
        <x:r>
          <x:rPr>
            <x:rFont val="굴림"/>
            <x:sz val="11"/>
            <x:color rgb="ff000000"/>
            <x:b val="1"/>
          </x:rPr>
          <x:t>7/18 - 19:00</x:t>
        </x:r>
      </x:text>
    </x:comment>
    <x:comment ref="L46:L46" authorId="0">
      <x:text>
        <x:r>
          <x:rPr>
            <x:rFont val="굴림"/>
            <x:sz val="11"/>
            <x:color rgb="ff000000"/>
          </x:rPr>
          <x:t>7/22 보강</x:t>
        </x:r>
      </x:text>
    </x:comment>
    <x:comment ref="L47:L47" authorId="0">
      <x:text>
        <x:r>
          <x:rPr>
            <x:rFont val="굴림"/>
            <x:sz val="11"/>
            <x:color rgb="ff000000"/>
          </x:rPr>
          <x:t>7/8 보강</x:t>
        </x:r>
      </x:text>
    </x:comment>
    <x:comment ref="L26:L26" authorId="0">
      <x:text>
        <x:r>
          <x:rPr>
            <x:rFont val="굴림"/>
            <x:sz val="10"/>
            <x:color rgb="ff000000"/>
          </x:rPr>
          <x:t>윤진 휴가로 인해 보강 예정</x:t>
        </x:r>
      </x:text>
    </x:comment>
    <x:comment ref="L48:L48" authorId="0">
      <x:text>
        <x:r>
          <x:rPr>
            <x:rFont val="굴림"/>
            <x:sz val="11"/>
            <x:color rgb="ff000000"/>
          </x:rPr>
          <x:t>7/15 보강</x:t>
        </x:r>
      </x:text>
    </x:comment>
    <x:comment ref="J24:J24" authorId="0">
      <x:text>
        <x:r>
          <x:rPr>
            <x:rFont val="굴림"/>
            <x:sz val="11"/>
            <x:color rgb="ff000000"/>
            <x:b val="1"/>
          </x:rPr>
          <x:t>이주현:
6월 보강 (7/29 불가)</x:t>
        </x:r>
      </x:text>
    </x:comment>
    <x:comment ref="L24:L24" authorId="0">
      <x:text>
        <x:r>
          <x:rPr>
            <x:rFont val="굴림"/>
            <x:sz val="11"/>
            <x:color rgb="ff000000"/>
          </x:rPr>
          <x:t>7/25 보강</x:t>
        </x:r>
      </x:text>
    </x:comment>
    <x:comment ref="L25:L25" authorId="0">
      <x:text>
        <x:r>
          <x:rPr>
            <x:rFont val="굴림"/>
            <x:sz val="11"/>
            <x:color rgb="ff000000"/>
            <x:b val="1"/>
          </x:rPr>
          <x:t xml:space="preserve">7/20
</x:t>
        </x:r>
      </x:text>
    </x:comment>
    <x:comment ref="J30:J30" authorId="0">
      <x:text>
        <x:r>
          <x:rPr>
            <x:rFont val="굴림"/>
            <x:sz val="11"/>
            <x:color rgb="ff000000"/>
            <x:b val="1"/>
          </x:rPr>
          <x:t>이주현:
15:32 아파서 결석한다고 연락주셨습니다.</x:t>
        </x:r>
      </x:text>
    </x:comment>
    <x:comment ref="B31:B31" authorId="0">
      <x:text>
        <x:r>
          <x:rPr>
            <x:rFont val="굴림"/>
            <x:sz val="11"/>
            <x:color rgb="ff000000"/>
          </x:rPr>
          <x:t>차량번호 : 5405
               4477</x:t>
        </x:r>
      </x:text>
    </x:comment>
    <x:comment ref="N26:N26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수업시작 후에 유산소 및 매달리기 등 5분가량 진행 후에 배가 아파 병원으로 이동(얼굴이 창백해지고 제대로 걷지못함)</x:t>
        </x:r>
      </x:text>
    </x:comment>
    <x:comment ref="N45:N45" authorId="0">
      <x:text>
        <x:r>
          <x:rPr>
            <x:rFont val="굴림"/>
            <x:sz val="11"/>
            <x:color rgb="ff000000"/>
            <x:b val="1"/>
          </x:rPr>
          <x:t>주현:
보강예정
(센터 제안 보강)
&gt; 수업 인원이 너무 적어서 보강 여쭤봤고, 추후 일정 정하신다고 하셨습니다.</x:t>
        </x:r>
      </x:text>
    </x:comment>
    <x:comment ref="O47:O47" authorId="0">
      <x:text>
        <x:r>
          <x:rPr>
            <x:rFont val="굴림"/>
            <x:sz val="11"/>
            <x:color rgb="ff000000"/>
          </x:rPr>
          <x:t>중3 남 1</x:t>
        </x:r>
      </x:text>
    </x:comment>
    <x:comment ref="O45:O45" authorId="0">
      <x:text>
        <x:r>
          <x:rPr>
            <x:rFont val="굴림"/>
            <x:sz val="9"/>
            <x:color rgb="ff000000"/>
            <x:b val="1"/>
          </x:rPr>
          <x:t>주현:
배 아파서 결석</x:t>
        </x:r>
      </x:text>
    </x:comment>
    <x:comment ref="Q46:Q46" authorId="0">
      <x:text>
        <x:r>
          <x:rPr>
            <x:rFont val="굴림"/>
            <x:sz val="11"/>
            <x:color rgb="ff000000"/>
          </x:rPr>
          <x:t>8/30 보강</x:t>
        </x:r>
      </x:text>
    </x:comment>
    <x:comment ref="U29:U29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17:02 전화 연결 안됨</x:t>
        </x:r>
      </x:text>
    </x:comment>
    <x:comment ref="B35:B35" authorId="0">
      <x:text>
        <x:r>
          <x:rPr>
            <x:rFont val="굴림"/>
            <x:sz val="11"/>
            <x:color rgb="ff000000"/>
          </x:rPr>
          <x:t>차량번호 8330
아버님 3641
어머님 7204</x:t>
        </x:r>
      </x:text>
    </x:comment>
    <x:comment ref="W29:W29" authorId="0">
      <x:text>
        <x:r>
          <x:rPr>
            <x:rFont val="굴림"/>
            <x:sz val="11"/>
            <x:color rgb="ff000000"/>
            <x:b val="1"/>
          </x:rPr>
          <x:t>피구하다 손가락 부상</x:t>
        </x:r>
      </x:text>
    </x:comment>
    <x:comment ref="W28:W28" authorId="0">
      <x:text>
        <x:r>
          <x:rPr>
            <x:rFont val="굴림"/>
            <x:sz val="9"/>
            <x:color rgb="ff000000"/>
            <x:b val="1"/>
          </x:rPr>
          <x:t>도희 손 부상으로 10월 중 보강</x:t>
        </x:r>
      </x:text>
    </x:comment>
    <x:comment ref="J23:J23" authorId="0">
      <x:text>
        <x:r>
          <x:rPr>
            <x:rFont val="굴림"/>
            <x:sz val="11"/>
            <x:color rgb="ff000000"/>
            <x:b val="1"/>
          </x:rPr>
          <x:t>이주현:
6월 보강 (7/29 불가)</x:t>
        </x:r>
      </x:text>
    </x:comment>
    <x:comment ref="L23:L23" authorId="0">
      <x:text>
        <x:r>
          <x:rPr>
            <x:rFont val="굴림"/>
            <x:sz val="11"/>
            <x:color rgb="ff000000"/>
          </x:rPr>
          <x:t>7/25 보강</x:t>
        </x:r>
      </x:text>
    </x:comment>
    <x:comment ref="AA22:AA22" authorId="0">
      <x:text>
        <x:r>
          <x:rPr>
            <x:rFont val="굴림"/>
            <x:sz val="9"/>
            <x:color rgb="ff000000"/>
            <x:b val="1"/>
          </x:rPr>
          <x:t>보강없음</x:t>
        </x:r>
      </x:text>
    </x:comment>
    <x:comment ref="V32:V32" authorId="0">
      <x:text>
        <x:r>
          <x:rPr>
            <x:rFont val="굴림"/>
            <x:sz val="9"/>
            <x:color rgb="ff000000"/>
            <x:b val="1"/>
          </x:rPr>
          <x:t>16:05 반깁스로 인해 10월 보강 예정</x:t>
        </x:r>
      </x:text>
    </x:comment>
    <x:comment ref="W32:W32" authorId="0">
      <x:text>
        <x:r>
          <x:rPr>
            <x:rFont val="굴림"/>
            <x:sz val="9"/>
            <x:color rgb="ff000000"/>
            <x:b val="1"/>
          </x:rPr>
          <x:t>도희 손 부상으로 10월 중 보강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1:B21" authorId="0">
      <x:text>
        <x:r>
          <x:rPr>
            <x:rFont val="굴림"/>
            <x:sz val="12"/>
            <x:color rgb="ff000000"/>
          </x:rPr>
          <x:t>차량번호 6687</x:t>
        </x:r>
      </x:text>
    </x:comment>
    <x:comment ref="K25:K25" authorId="0">
      <x:text>
        <x:r>
          <x:rPr>
            <x:rFont val="굴림"/>
            <x:sz val="11"/>
            <x:color rgb="ff000000"/>
          </x:rPr>
          <x:t>7/14 보강</x:t>
        </x:r>
      </x:text>
    </x:comment>
    <x:comment ref="L27:L27" authorId="0">
      <x:text>
        <x:r>
          <x:rPr>
            <x:rFont val="굴림"/>
            <x:sz val="11"/>
            <x:color rgb="ff000000"/>
          </x:rPr>
          <x:t>7/27 보강</x:t>
        </x:r>
      </x:text>
    </x:comment>
    <x:comment ref="N26:N26" authorId="0">
      <x:text>
        <x:r>
          <x:rPr>
            <x:rFont val="굴림"/>
            <x:sz val="11"/>
            <x:color rgb="ff000000"/>
            <x:b val="1"/>
          </x:rPr>
          <x:t>8/3 보강</x:t>
        </x:r>
      </x:text>
    </x:comment>
    <x:comment ref="O26:O26" authorId="0">
      <x:text>
        <x:r>
          <x:rPr>
            <x:rFont val="굴림"/>
            <x:sz val="11"/>
            <x:color rgb="ff000000"/>
          </x:rPr>
          <x:t xml:space="preserve">8/3 보강
</x:t>
        </x:r>
      </x:text>
    </x:comment>
    <x:comment ref="Q26:Q26" authorId="0">
      <x:text>
        <x:r>
          <x:rPr>
            <x:rFont val="굴림"/>
            <x:sz val="11"/>
            <x:color rgb="ff000000"/>
            <x:b val="1"/>
          </x:rPr>
          <x:t>8/25</x:t>
        </x:r>
      </x:text>
    </x:comment>
    <x:comment ref="B14:B14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7862</x:t>
        </x:r>
      </x:text>
    </x:comment>
    <x:comment ref="B17:B17" authorId="0">
      <x:text>
        <x:r>
          <x:rPr>
            <x:rFont val="굴림"/>
            <x:sz val="12"/>
            <x:color rgb="ff000000"/>
          </x:rPr>
          <x:t>차량번호:
43두1263</x:t>
        </x:r>
      </x:text>
    </x:comment>
    <x:comment ref="Q15:Q15" authorId="0">
      <x:text>
        <x:r>
          <x:rPr>
            <x:rFont val="굴림"/>
            <x:sz val="11"/>
            <x:color rgb="ff000000"/>
            <x:b val="1"/>
          </x:rPr>
          <x:t>24~26 제주도 여행</x:t>
        </x:r>
      </x:text>
    </x:comment>
    <x:comment ref="P16:P16" authorId="0">
      <x:text>
        <x:r>
          <x:rPr>
            <x:rFont val="굴림"/>
            <x:sz val="9"/>
            <x:color rgb="ff000000"/>
            <x:b val="1"/>
          </x:rPr>
          <x:t>더워서 결석(보강X)</x:t>
        </x:r>
      </x:text>
    </x:comment>
    <x:comment ref="O16:O16" authorId="0">
      <x:text>
        <x:r>
          <x:rPr>
            <x:rFont val="굴림"/>
            <x:sz val="9"/>
            <x:color rgb="ff000000"/>
            <x:b val="1"/>
          </x:rPr>
          <x:t>14일 보강 미참석(재보강X)</x:t>
        </x:r>
      </x:text>
    </x:comment>
    <x:comment ref="O18:O18" authorId="0">
      <x:text>
        <x:r>
          <x:rPr>
            <x:rFont val="굴림"/>
            <x:sz val="11"/>
            <x:color rgb="ff000000"/>
          </x:rPr>
          <x:t xml:space="preserve">8/24 보강 예정
</x:t>
        </x:r>
      </x:text>
    </x:comment>
    <x:comment ref="B18:B18" authorId="0">
      <x:text>
        <x:r>
          <x:rPr>
            <x:rFont val="굴림"/>
            <x:sz val="11"/>
            <x:color rgb="ff000000"/>
          </x:rPr>
          <x:t>차량번호 6209</x:t>
        </x:r>
      </x:text>
    </x:comment>
    <x:comment ref="J28:J28" authorId="0">
      <x:text>
        <x:r>
          <x:rPr>
            <x:rFont val="굴림"/>
            <x:sz val="11"/>
            <x:color rgb="ff000000"/>
            <x:b val="1"/>
          </x:rPr>
          <x:t>이주현:
15:30 열 나서 못 나온다고 연락주셨습니다.</x:t>
        </x:r>
      </x:text>
    </x:comment>
    <x:comment ref="T14:T14" authorId="0">
      <x:text>
        <x:r>
          <x:rPr>
            <x:rFont val="굴림"/>
            <x:sz val="11"/>
            <x:color rgb="ff000000"/>
            <x:b val="1"/>
          </x:rPr>
          <x:t>주현:
당일 통보는 보강 안된다고 하고 이번만 해드린다고 말씀드림</x:t>
        </x:r>
      </x:text>
    </x:comment>
    <x:comment ref="T20:T20" authorId="0">
      <x:text>
        <x:r>
          <x:rPr>
            <x:rFont val="굴림"/>
            <x:sz val="11"/>
            <x:color rgb="ff000000"/>
            <x:b val="1"/>
          </x:rPr>
          <x:t>9/7</x:t>
        </x:r>
      </x:text>
    </x:comment>
    <x:comment ref="U18:U18" authorId="0">
      <x:text>
        <x:r>
          <x:rPr>
            <x:rFont val="굴림"/>
            <x:sz val="9"/>
            <x:color rgb="ff000000"/>
            <x:b val="1"/>
          </x:rPr>
          <x:t xml:space="preserve">주현:
전화 완료 9/16 / 14:49
</x:t>
        </x:r>
      </x:text>
    </x:comment>
    <x:comment ref="U14:U14" authorId="0">
      <x:text>
        <x:r>
          <x:rPr>
            <x:rFont val="굴림"/>
            <x:sz val="9"/>
            <x:color rgb="ff000000"/>
            <x:b val="1"/>
          </x:rPr>
          <x:t>15:03 미 통보로 통화 결과 사전에 전화하지 못하였다고 함.(결석처리, 보강X)</x:t>
        </x:r>
      </x:text>
    </x:comment>
    <x:comment ref="B24:B24" authorId="0">
      <x:text>
        <x:r>
          <x:rPr>
            <x:rFont val="굴림"/>
            <x:sz val="12"/>
            <x:color rgb="ff000000"/>
          </x:rPr>
          <x:t>62부3085</x:t>
        </x:r>
      </x:text>
    </x:comment>
    <x:comment ref="U24:U24" authorId="0">
      <x:text>
        <x:r>
          <x:rPr>
            <x:rFont val="굴림"/>
            <x:sz val="11"/>
            <x:color rgb="ff000000"/>
            <x:b val="1"/>
          </x:rPr>
          <x:t xml:space="preserve">9/18
</x:t>
        </x:r>
      </x:text>
    </x:comment>
    <x:comment ref="AM24:AM24" authorId="0">
      <x:text>
        <x:r>
          <x:rPr>
            <x:rFont val="굴림"/>
            <x:sz val="11"/>
            <x:color rgb="ff000000"/>
            <x:b val="1"/>
          </x:rPr>
          <x:t>주현:
9월 셋째 주부터
목17 &gt; 화 16 변경</x:t>
        </x:r>
      </x:text>
    </x:comment>
    <x:comment ref="W26:W26" authorId="0">
      <x:text>
        <x:r>
          <x:rPr>
            <x:rFont val="굴림"/>
            <x:sz val="9"/>
            <x:color rgb="ff000000"/>
            <x:b val="1"/>
          </x:rPr>
          <x:t xml:space="preserve">이유경:
9/27 보강
</x:t>
        </x:r>
      </x:text>
    </x:comment>
    <x:comment ref="W21:W21" authorId="0">
      <x:text>
        <x:r>
          <x:rPr>
            <x:rFont val="굴림"/>
            <x:sz val="11"/>
            <x:color rgb="ff000000"/>
            <x:b val="1"/>
          </x:rPr>
          <x:t>카카오채널:
허리 아파서 보강변경</x:t>
        </x:r>
      </x:text>
    </x:comment>
    <x:comment ref="W28:W28" authorId="0">
      <x:text>
        <x:r>
          <x:rPr>
            <x:rFont val="굴림"/>
            <x:sz val="9"/>
            <x:color rgb="ff000000"/>
            <x:b val="1"/>
          </x:rPr>
          <x:t>주현:
17:08 아파서 결석
(추후 보강 예정)</x:t>
        </x:r>
      </x:text>
    </x:comment>
    <x:comment ref="Z26:Z26" authorId="0">
      <x:text>
        <x:r>
          <x:rPr>
            <x:rFont val="굴림"/>
            <x:sz val="11"/>
            <x:color rgb="ff000000"/>
            <x:b val="1"/>
          </x:rPr>
          <x:t>박한결(초4) 2498-5432</x:t>
        </x:r>
      </x:text>
    </x:comment>
    <x:comment ref="B32:B32" authorId="0">
      <x:text>
        <x:r>
          <x:rPr>
            <x:rFont val="굴림"/>
            <x:sz val="12"/>
            <x:color rgb="ff000000"/>
          </x:rPr>
          <x:t>차량번호 6563</x:t>
        </x:r>
      </x:text>
    </x:comment>
    <x:comment ref="P32:P32" authorId="0">
      <x:text>
        <x:r>
          <x:rPr>
            <x:rFont val="굴림"/>
            <x:sz val="11"/>
            <x:color rgb="ff000000"/>
          </x:rPr>
          <x:t xml:space="preserve">2회분만 따로 결제 후 9월은 정상등록예정
</x:t>
        </x:r>
      </x:text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0:B20" authorId="0">
      <x:text>
        <x:r>
          <x:rPr>
            <x:rFont val="굴림"/>
            <x:sz val="12"/>
            <x:color rgb="ff000000"/>
          </x:rPr>
          <x:t>차량번호
4514</x:t>
        </x:r>
      </x:text>
    </x:comment>
    <x:comment ref="B43:B43" authorId="0">
      <x:text>
        <x:r>
          <x:rPr>
            <x:rFont val="굴림"/>
            <x:sz val="12"/>
            <x:color rgb="ff000000"/>
          </x:rPr>
          <x:t xml:space="preserve">차량번호
4422 or 7446
</x:t>
        </x:r>
      </x:text>
    </x:comment>
    <x:comment ref="I33:I33" authorId="0">
      <x:text>
        <x:r>
          <x:rPr>
            <x:rFont val="굴림"/>
            <x:sz val="11"/>
            <x:color rgb="ff000000"/>
            <x:b val="1"/>
          </x:rPr>
          <x:t>진윤영/ 6세 / 6793-3700</x:t>
        </x:r>
      </x:text>
    </x:comment>
    <x:comment ref="I38:I38" authorId="0">
      <x:text>
        <x:r>
          <x:rPr>
            <x:rFont val="굴림"/>
            <x:sz val="11"/>
            <x:color rgb="ff000000"/>
          </x:rPr>
          <x:t>중1 남 1
양수혁/ 5635-5951</x:t>
        </x:r>
      </x:text>
    </x:comment>
    <x:comment ref="J33:J33" authorId="0">
      <x:text>
        <x:r>
          <x:rPr>
            <x:rFont val="굴림"/>
            <x:sz val="11"/>
            <x:color rgb="ff000000"/>
          </x:rPr>
          <x:t>이유경:
7/6 14:56 전화
김도하/ 6세/ 
6634-8284</x:t>
        </x:r>
      </x:text>
    </x:comment>
    <x:comment ref="L41:L41" authorId="0">
      <x:text>
        <x:r>
          <x:rPr>
            <x:rFont val="굴림"/>
            <x:sz val="11"/>
            <x:color rgb="ff000000"/>
          </x:rPr>
          <x:t>7/7 보강</x:t>
        </x:r>
      </x:text>
    </x:comment>
    <x:comment ref="M11:M11" authorId="0">
      <x:text>
        <x:r>
          <x:rPr>
            <x:rFont val="굴림"/>
            <x:sz val="11"/>
            <x:color rgb="ff000000"/>
          </x:rPr>
          <x:t>초2 1 초3 1 6세 1</x:t>
        </x:r>
      </x:text>
    </x:comment>
    <x:comment ref="L33:L33" authorId="0">
      <x:text>
        <x:r>
          <x:rPr>
            <x:rFont val="굴림"/>
            <x:sz val="11"/>
            <x:color rgb="ff000000"/>
          </x:rPr>
          <x:t>초4 여 1</x:t>
        </x:r>
      </x:text>
    </x:comment>
    <x:comment ref="N33:N33" authorId="0">
      <x:text>
        <x:r>
          <x:rPr>
            <x:rFont val="굴림"/>
            <x:sz val="11"/>
            <x:color rgb="ff000000"/>
          </x:rPr>
          <x:t>초2 남 1
010-3222-3155</x:t>
        </x:r>
      </x:text>
    </x:comment>
    <x:comment ref="N34:N34" authorId="0">
      <x:text>
        <x:r>
          <x:rPr>
            <x:rFont val="굴림"/>
            <x:sz val="11"/>
            <x:color rgb="ff000000"/>
          </x:rPr>
          <x:t>8/8 보강</x:t>
        </x:r>
      </x:text>
    </x:comment>
    <x:comment ref="O34:O34" authorId="0">
      <x:text>
        <x:r>
          <x:rPr>
            <x:rFont val="굴림"/>
            <x:sz val="11"/>
            <x:color rgb="ff000000"/>
          </x:rPr>
          <x:t>8/14</x:t>
        </x:r>
      </x:text>
    </x:comment>
    <x:comment ref="O39:O39" authorId="0">
      <x:text>
        <x:r>
          <x:rPr>
            <x:rFont val="굴림"/>
            <x:sz val="11"/>
            <x:color rgb="ff000000"/>
            <x:b val="1"/>
          </x:rPr>
          <x:t>8/11</x:t>
        </x:r>
      </x:text>
    </x:comment>
    <x:comment ref="O33:O33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8/14 17시 보강</x:t>
        </x:r>
      </x:text>
    </x:comment>
    <x:comment ref="P26:P26" authorId="0">
      <x:text>
        <x:r>
          <x:rPr>
            <x:rFont val="굴림"/>
            <x:sz val="11"/>
            <x:color rgb="ff000000"/>
          </x:rPr>
          <x:t xml:space="preserve">전날 밤 낙상으로 인해 갈비뼈 다쳐서 결석
</x:t>
        </x:r>
      </x:text>
    </x:comment>
    <x:comment ref="O25:O25" authorId="0">
      <x:text>
        <x:r>
          <x:rPr>
            <x:rFont val="굴림"/>
            <x:sz val="11"/>
            <x:color rgb="ff000000"/>
          </x:rPr>
          <x:t xml:space="preserve">8/2 보강
</x:t>
        </x:r>
      </x:text>
    </x:comment>
    <x:comment ref="P25:P25" authorId="0">
      <x:text>
        <x:r>
          <x:rPr>
            <x:rFont val="굴림"/>
            <x:sz val="11"/>
            <x:color rgb="ff000000"/>
          </x:rPr>
          <x:t xml:space="preserve">8/25 보강
</x:t>
        </x:r>
      </x:text>
    </x:comment>
    <x:comment ref="Q33:Q33" authorId="0">
      <x:text>
        <x:r>
          <x:rPr>
            <x:rFont val="굴림"/>
            <x:sz val="11"/>
            <x:color rgb="ff000000"/>
            <x:b val="1"/>
          </x:rPr>
          <x:t xml:space="preserve">8/5 보강
</x:t>
        </x:r>
      </x:text>
    </x:comment>
    <x:comment ref="B34:B34" authorId="0">
      <x:text>
        <x:r>
          <x:rPr>
            <x:rFont val="굴림"/>
            <x:sz val="11"/>
            <x:color rgb="ff000000"/>
          </x:rPr>
          <x:t xml:space="preserve">차량번호 4877
</x:t>
        </x:r>
      </x:text>
    </x:comment>
    <x:comment ref="L46:L46" authorId="0">
      <x:text>
        <x:r>
          <x:rPr>
            <x:rFont val="굴림"/>
            <x:sz val="9"/>
            <x:color rgb="ff000000"/>
            <x:b val="1"/>
          </x:rPr>
          <x:t xml:space="preserve">이주현:
7/19(토) 11:00
</x:t>
        </x:r>
      </x:text>
    </x:comment>
    <x:comment ref="N46:N46" authorId="0">
      <x:text>
        <x:r>
          <x:rPr>
            <x:rFont val="굴림"/>
            <x:sz val="11"/>
            <x:color rgb="ff000000"/>
          </x:rPr>
          <x:t xml:space="preserve">7/15 보강
</x:t>
        </x:r>
      </x:text>
    </x:comment>
    <x:comment ref="Q46:Q46" authorId="0">
      <x:text>
        <x:r>
          <x:rPr>
            <x:rFont val="굴림"/>
            <x:sz val="11"/>
            <x:color rgb="ff000000"/>
            <x:b val="1"/>
          </x:rPr>
          <x:t>8/1 보강
화이트 테스트 봐주셔야합니다!</x:t>
        </x:r>
      </x:text>
    </x:comment>
    <x:comment ref="I36:I36" authorId="0">
      <x:text>
        <x:r>
          <x:rPr>
            <x:rFont val="굴림"/>
            <x:sz val="11"/>
            <x:color rgb="ff000000"/>
          </x:rPr>
          <x:t>중1 남 1
양수혁/ 5635-5951</x:t>
        </x:r>
      </x:text>
    </x:comment>
    <x:comment ref="O37:O37" authorId="0">
      <x:text>
        <x:r>
          <x:rPr>
            <x:rFont val="굴림"/>
            <x:sz val="11"/>
            <x:color rgb="ff000000"/>
            <x:b val="1"/>
          </x:rPr>
          <x:t>8/11</x:t>
        </x:r>
      </x:text>
    </x:comment>
    <x:comment ref="S22:S22" authorId="0">
      <x:text>
        <x:r>
          <x:rPr>
            <x:rFont val="굴림"/>
            <x:sz val="11"/>
            <x:color rgb="ff000000"/>
          </x:rPr>
          <x:t xml:space="preserve">8/15 보강
</x:t>
        </x:r>
      </x:text>
    </x:comment>
    <x:comment ref="X47:X47" authorId="0">
      <x:text>
        <x:r>
          <x:rPr>
            <x:rFont val="굴림"/>
            <x:sz val="9"/>
            <x:color rgb="ff000000"/>
            <x:b val="1"/>
          </x:rPr>
          <x:t>9/22(월)</x:t>
        </x:r>
      </x:text>
    </x:comment>
    <x:comment ref="P30:P30" authorId="0">
      <x:text>
        <x:r>
          <x:rPr>
            <x:rFont val="굴림"/>
            <x:sz val="9"/>
            <x:color rgb="ff000000"/>
            <x:b val="1"/>
          </x:rPr>
          <x:t>17:15 전화연결 안됨</x:t>
        </x:r>
      </x:text>
    </x:comment>
    <x:comment ref="P31:P31" authorId="0">
      <x:text>
        <x:r>
          <x:rPr>
            <x:rFont val="굴림"/>
            <x:sz val="9"/>
            <x:color rgb="ff000000"/>
            <x:b val="1"/>
          </x:rPr>
          <x:t>17:15 전화연결 안됨</x:t>
        </x:r>
      </x:text>
    </x:comment>
    <x:comment ref="AA47:AA47" authorId="0">
      <x:text>
        <x:r>
          <x:rPr>
            <x:rFont val="굴림"/>
            <x:sz val="9"/>
            <x:color rgb="ff000000"/>
            <x:b val="1"/>
          </x:rPr>
          <x:t>10/10</x:t>
        </x:r>
      </x:text>
    </x:comment>
    <x:comment ref="Z31:Z31" authorId="0">
      <x:text>
        <x:r>
          <x:rPr>
            <x:rFont val="굴림"/>
            <x:sz val="11"/>
            <x:color rgb="ff000000"/>
            <x:b val="1"/>
          </x:rPr>
          <x:t>10/19</x:t>
        </x:r>
      </x:text>
    </x:comment>
    <x:comment ref="Z32:Z32" authorId="0">
      <x:text>
        <x:r>
          <x:rPr>
            <x:rFont val="굴림"/>
            <x:sz val="11"/>
            <x:color rgb="ff000000"/>
            <x:b val="1"/>
          </x:rPr>
          <x:t xml:space="preserve">10/16
</x:t>
        </x:r>
      </x:text>
    </x:comment>
    <x:comment ref="AB22:AB22" authorId="0">
      <x:text>
        <x:r>
          <x:rPr>
            <x:rFont val="굴림"/>
            <x:sz val="11"/>
            <x:color rgb="ff000000"/>
            <x:b val="1"/>
          </x:rPr>
          <x:t>카카오채널</x:t>
        </x:r>
      </x:text>
    </x:comment>
    <x:comment ref="B28:B28" authorId="0">
      <x:text>
        <x:r>
          <x:rPr>
            <x:rFont val="굴림"/>
            <x:sz val="12"/>
            <x:color rgb="ff000000"/>
          </x:rPr>
          <x:t>차량번호
9148</x:t>
        </x:r>
      </x:text>
    </x:comment>
    <x:comment ref="B29:B29" authorId="0">
      <x:text>
        <x:r>
          <x:rPr>
            <x:rFont val="굴림"/>
            <x:sz val="12"/>
            <x:color rgb="ff000000"/>
          </x:rPr>
          <x:t>차량번호
3838</x:t>
        </x:r>
      </x:text>
    </x:comment>
    <x:comment ref="P29:P29" authorId="0">
      <x:text>
        <x:r>
          <x:rPr>
            <x:rFont val="굴림"/>
            <x:sz val="9"/>
            <x:color rgb="ff000000"/>
            <x:b val="1"/>
          </x:rPr>
          <x:t>17:15 전화연결 안됨</x:t>
        </x:r>
      </x:text>
    </x:comment>
  </x:commentList>
</x:comments>
</file>

<file path=xl/comments4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I11:I11" authorId="0">
      <x:text>
        <x:r>
          <x:rPr>
            <x:rFont val="굴림"/>
            <x:sz val="11"/>
            <x:color rgb="ff000000"/>
          </x:rPr>
          <x:t>6/10 보강</x:t>
        </x:r>
      </x:text>
    </x:comment>
    <x:comment ref="I31:I31" authorId="0">
      <x:text>
        <x:r>
          <x:rPr>
            <x:rFont val="굴림"/>
            <x:sz val="12"/>
            <x:color rgb="ff000000"/>
          </x:rPr>
          <x:t>유철
7/2 보강</x:t>
        </x:r>
      </x:text>
    </x:comment>
    <x:comment ref="I30:I30" authorId="0">
      <x:text>
        <x:r>
          <x:rPr>
            <x:rFont val="굴림"/>
            <x:sz val="11"/>
            <x:color rgb="ff000000"/>
            <x:b val="1"/>
          </x:rPr>
          <x:t>목17 반</x:t>
        </x:r>
      </x:text>
    </x:comment>
    <x:comment ref="J30:J30" authorId="0">
      <x:text>
        <x:r>
          <x:rPr>
            <x:rFont val="굴림"/>
            <x:sz val="11"/>
            <x:color rgb="ff000000"/>
            <x:b val="1"/>
          </x:rPr>
          <x:t>이주현:
13시</x:t>
        </x:r>
      </x:text>
    </x:comment>
    <x:comment ref="M11:M11" authorId="0">
      <x:text>
        <x:r>
          <x:rPr>
            <x:rFont val="굴림"/>
            <x:sz val="11"/>
            <x:color rgb="ff000000"/>
          </x:rPr>
          <x:t>6세</x:t>
        </x:r>
      </x:text>
    </x:comment>
    <x:comment ref="O34:O34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O35:O35" authorId="0">
      <x:text>
        <x:r>
          <x:rPr>
            <x:rFont val="굴림"/>
            <x:sz val="11"/>
            <x:color rgb="ff000000"/>
          </x:rPr>
          <x:t xml:space="preserve">8/18 보강
</x:t>
        </x:r>
      </x:text>
    </x:comment>
    <x:comment ref="O31:O31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카카오톡채널로 문의하였으나 답변 없음(17:15)</x:t>
        </x:r>
      </x:text>
    </x:comment>
    <x:comment ref="Q34:Q34" authorId="0">
      <x:text>
        <x:r>
          <x:rPr>
            <x:rFont val="굴림"/>
            <x:sz val="11"/>
            <x:color rgb="ff000000"/>
          </x:rPr>
          <x:t xml:space="preserve">6세 남 1
</x:t>
        </x:r>
      </x:text>
    </x:comment>
    <x:comment ref="M23:M23" authorId="0">
      <x:text>
        <x:r>
          <x:rPr>
            <x:rFont val="굴림"/>
            <x:sz val="11"/>
            <x:color rgb="ff000000"/>
            <x:b val="1"/>
          </x:rPr>
          <x:t xml:space="preserve">박보너/ 초3
6406-6022
</x:t>
        </x:r>
      </x:text>
    </x:comment>
    <x:comment ref="O23:O23" authorId="0">
      <x:text>
        <x:r>
          <x:rPr>
            <x:rFont val="굴림"/>
            <x:sz val="11"/>
            <x:color rgb="ff000000"/>
          </x:rPr>
          <x:t>8/18 보강</x:t>
        </x:r>
      </x:text>
    </x:comment>
    <x:comment ref="Q23:Q23" authorId="0">
      <x:text>
        <x:r>
          <x:rPr>
            <x:rFont val="굴림"/>
            <x:sz val="11"/>
            <x:color rgb="ff000000"/>
          </x:rPr>
          <x:t xml:space="preserve">8/12 보강
</x:t>
        </x:r>
      </x:text>
    </x:comment>
    <x:comment ref="K17:K17" authorId="0">
      <x:text>
        <x:r>
          <x:rPr>
            <x:rFont val="굴림"/>
            <x:sz val="11"/>
            <x:color rgb="ff000000"/>
          </x:rPr>
          <x:t>7/14</x:t>
        </x:r>
      </x:text>
    </x:comment>
    <x:comment ref="M17:M17" authorId="0">
      <x:text>
        <x:r>
          <x:rPr>
            <x:rFont val="굴림"/>
            <x:sz val="11"/>
            <x:color rgb="ff000000"/>
          </x:rPr>
          <x:t>중2 1 초6 1</x:t>
        </x:r>
      </x:text>
    </x:comment>
    <x:comment ref="N18:N18" authorId="0">
      <x:text>
        <x:r>
          <x:rPr>
            <x:rFont val="굴림"/>
            <x:sz val="11"/>
            <x:color rgb="ff000000"/>
          </x:rPr>
          <x:t xml:space="preserve">8/9 보강
</x:t>
        </x:r>
      </x:text>
    </x:comment>
    <x:comment ref="K16:K16" authorId="0">
      <x:text>
        <x:r>
          <x:rPr>
            <x:rFont val="굴림"/>
            <x:sz val="11"/>
            <x:color rgb="ff000000"/>
          </x:rPr>
          <x:t>7/14</x:t>
        </x:r>
      </x:text>
    </x:comment>
    <x:comment ref="M16:M16" authorId="0">
      <x:text>
        <x:r>
          <x:rPr>
            <x:rFont val="굴림"/>
            <x:sz val="11"/>
            <x:color rgb="ff000000"/>
          </x:rPr>
          <x:t>중2 1 초6 1</x:t>
        </x:r>
      </x:text>
    </x:comment>
    <x:comment ref="K15:K15" authorId="0">
      <x:text>
        <x:r>
          <x:rPr>
            <x:rFont val="굴림"/>
            <x:sz val="11"/>
            <x:color rgb="ff000000"/>
          </x:rPr>
          <x:t>7/14</x:t>
        </x:r>
      </x:text>
    </x:comment>
    <x:comment ref="M15:M15" authorId="0">
      <x:text>
        <x:r>
          <x:rPr>
            <x:rFont val="굴림"/>
            <x:sz val="11"/>
            <x:color rgb="ff000000"/>
          </x:rPr>
          <x:t>중2 1 초6 1</x:t>
        </x:r>
      </x:text>
    </x:comment>
    <x:comment ref="N15:N15" authorId="0">
      <x:text>
        <x:r>
          <x:rPr>
            <x:rFont val="굴림"/>
            <x:sz val="11"/>
            <x:color rgb="ff000000"/>
          </x:rPr>
          <x:t>초6 1</x:t>
        </x:r>
      </x:text>
    </x:comment>
    <x:comment ref="O15:O15" authorId="0">
      <x:text>
        <x:r>
          <x:rPr>
            <x:rFont val="굴림"/>
            <x:sz val="11"/>
            <x:color rgb="ff000000"/>
          </x:rPr>
          <x:t xml:space="preserve">중3 남 1 
</x:t>
        </x:r>
      </x:text>
    </x:comment>
    <x:comment ref="P15:P15" authorId="0">
      <x:text>
        <x:r>
          <x:rPr>
            <x:rFont val="굴림"/>
            <x:sz val="11"/>
            <x:color rgb="ff000000"/>
          </x:rPr>
          <x:t>초3 남 1</x:t>
        </x:r>
      </x:text>
    </x:comment>
    <x:comment ref="B15:B15" authorId="0">
      <x:text>
        <x:r>
          <x:rPr>
            <x:rFont val="굴림"/>
            <x:sz val="11"/>
            <x:color rgb="ff000000"/>
          </x:rPr>
          <x:t>차량번호 6209</x:t>
        </x:r>
      </x:text>
    </x:comment>
    <x:comment ref="Q15:Q15" authorId="0">
      <x:text>
        <x:r>
          <x:rPr>
            <x:rFont val="굴림"/>
            <x:sz val="11"/>
            <x:color rgb="ff000000"/>
          </x:rPr>
          <x:t xml:space="preserve">8/8 보강
</x:t>
        </x:r>
      </x:text>
    </x:comment>
    <x:comment ref="B42:B42" authorId="0">
      <x:text>
        <x:r>
          <x:rPr>
            <x:rFont val="굴림"/>
            <x:sz val="11"/>
            <x:color rgb="ff000000"/>
          </x:rPr>
          <x:t>차량번호 8330
아버님 3641
어머님 7204</x:t>
        </x:r>
      </x:text>
    </x:comment>
    <x:comment ref="Z16:Z16" authorId="0">
      <x:text>
        <x:r>
          <x:rPr>
            <x:rFont val="굴림"/>
            <x:sz val="9"/>
            <x:color rgb="ff000000"/>
            <x:b val="1"/>
          </x:rPr>
          <x:t>10/11 보강</x:t>
        </x:r>
      </x:text>
    </x:comment>
    <x:comment ref="AA16:AA16" authorId="0">
      <x:text>
        <x:r>
          <x:rPr>
            <x:rFont val="굴림"/>
            <x:sz val="9"/>
            <x:color rgb="ff000000"/>
            <x:b val="1"/>
          </x:rPr>
          <x:t>10/18 보강
결석(15:17 통화 완료)</x:t>
        </x:r>
      </x:text>
    </x:comment>
    <x:comment ref="B28:B28" authorId="0">
      <x:text>
        <x:r>
          <x:rPr>
            <x:rFont val="굴림"/>
            <x:sz val="9"/>
            <x:color rgb="ff000000"/>
            <x:b val="1"/>
          </x:rPr>
          <x:t>차량번호 0736</x:t>
        </x:r>
      </x:text>
    </x:comment>
    <x:comment ref="B30:B30" authorId="0">
      <x:text>
        <x:r>
          <x:rPr>
            <x:rFont val="굴림"/>
            <x:sz val="11"/>
            <x:color rgb="ff000000"/>
          </x:rPr>
          <x:t>차량번호 4871</x:t>
        </x:r>
      </x:text>
    </x:comment>
    <x:comment ref="T30:T30" authorId="0">
      <x:text>
        <x:r>
          <x:rPr>
            <x:rFont val="굴림"/>
            <x:sz val="11"/>
            <x:color rgb="ff000000"/>
            <x:b val="1"/>
          </x:rPr>
          <x:t>주현:
카카오채널,
가족여행</x:t>
        </x:r>
      </x:text>
    </x:comment>
    <x:comment ref="B36:B36" authorId="0">
      <x:text>
        <x:r>
          <x:rPr>
            <x:rFont val="굴림"/>
            <x:sz val="9"/>
            <x:color rgb="ff000000"/>
            <x:b val="1"/>
          </x:rPr>
          <x:t>차량번호: 0851</x:t>
        </x:r>
      </x:text>
    </x:comment>
    <x:comment ref="X32:X32" authorId="0">
      <x:text>
        <x:r>
          <x:rPr>
            <x:rFont val="굴림"/>
            <x:sz val="11"/>
            <x:color rgb="ff000000"/>
            <x:b val="1"/>
          </x:rPr>
          <x:t>주현: 원래 당월에만 되는데 전화로 연락, 이번에만 11월 첫째주로 해드림</x:t>
        </x:r>
      </x:text>
    </x:comment>
    <x:comment ref="AM14:AM14" authorId="0">
      <x:text>
        <x:r>
          <x:rPr>
            <x:rFont val="굴림"/>
            <x:sz val="11"/>
            <x:color rgb="ff000000"/>
            <x:b val="1"/>
          </x:rPr>
          <x:t>(1) 올해 6월 루트개편 설명 완료
(2) 어머니 통화 완료, 민재가 블랙 땄는데 왜 레드하는 건지 의문 &gt; 11/6 설명필요
(3) 어머니는 민재 체력단련이 가장 큰 목적이라 하십니다. 운동 되게 조금 강한 강도로만 + 칭찬으로 응원해주기</x:t>
        </x:r>
      </x:text>
    </x:comment>
    <x:comment ref="M21:M21" authorId="0">
      <x:text>
        <x:r>
          <x:rPr>
            <x:rFont val="굴림"/>
            <x:sz val="11"/>
            <x:color rgb="ff000000"/>
            <x:b val="1"/>
          </x:rPr>
          <x:t xml:space="preserve">박보너/ 초3
6406-6022
</x:t>
        </x:r>
      </x:text>
    </x:comment>
    <x:comment ref="O21:O21" authorId="0">
      <x:text>
        <x:r>
          <x:rPr>
            <x:rFont val="굴림"/>
            <x:sz val="11"/>
            <x:color rgb="ff000000"/>
          </x:rPr>
          <x:t>8/18 보강</x:t>
        </x:r>
      </x:text>
    </x:comment>
    <x:comment ref="Q21:Q21" authorId="0">
      <x:text>
        <x:r>
          <x:rPr>
            <x:rFont val="굴림"/>
            <x:sz val="11"/>
            <x:color rgb="ff000000"/>
          </x:rPr>
          <x:t xml:space="preserve">8/12 보강
</x:t>
        </x:r>
      </x:text>
    </x:comment>
    <x:comment ref="B21:B21" authorId="0">
      <x:text>
        <x:r>
          <x:rPr>
            <x:rFont val="굴림"/>
            <x:sz val="11"/>
            <x:color rgb="ff000000"/>
          </x:rPr>
          <x:t xml:space="preserve">할머님: 51노7816
학부모님: 6370(어머님) 3521(아버님)
</x:t>
        </x:r>
      </x:text>
    </x:comment>
    <x:comment ref="V21:V21" authorId="0">
      <x:text>
        <x:r>
          <x:rPr>
            <x:rFont val="굴림"/>
            <x:sz val="9"/>
            <x:color rgb="ff000000"/>
            <x:b val="1"/>
          </x:rPr>
          <x:t xml:space="preserve">감기로 보강예정	</x:t>
        </x:r>
      </x:text>
    </x:comment>
    <x:comment ref="AC22:AC22" authorId="0">
      <x:text>
        <x:r>
          <x:rPr>
            <x:rFont val="굴림"/>
            <x:sz val="11"/>
            <x:color rgb="ff000000"/>
            <x:b val="1"/>
          </x:rPr>
          <x:t xml:space="preserve">9/30
</x:t>
        </x:r>
      </x:text>
    </x:comment>
    <x:comment ref="AC23:AC23" authorId="0">
      <x:text>
        <x:r>
          <x:rPr>
            <x:rFont val="굴림"/>
            <x:sz val="11"/>
            <x:color rgb="ff000000"/>
            <x:b val="1"/>
          </x:rPr>
          <x:t>이서윤(초3)
전수빈(초3)
이태오(초3)
4723-0208</x:t>
        </x:r>
      </x:text>
    </x:comment>
    <x:comment ref="AM32:AM32" authorId="0">
      <x:text>
        <x:r>
          <x:rPr>
            <x:rFont val="굴림"/>
            <x:sz val="10"/>
            <x:color rgb="ff000000"/>
            <x:b val="1"/>
          </x:rPr>
          <x:t>김정민:
11/5 잘한다고 칭찬하며 불안한 자세교정 등 수업진행 요망(어머님 요청사항) 
* 옐로우 시험 이번달 필히 시행</x:t>
        </x:r>
      </x:text>
    </x:comment>
  </x:commentList>
</x:comments>
</file>

<file path=xl/comments5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3:B23" authorId="0">
      <x:text>
        <x:r>
          <x:rPr>
            <x:rFont val="굴림"/>
            <x:sz val="12"/>
            <x:color rgb="ff000000"/>
          </x:rPr>
          <x:t>차량번호
62나 8044</x:t>
        </x:r>
      </x:text>
    </x:comment>
    <x:comment ref="B43:B43" authorId="0">
      <x:text>
        <x:r>
          <x:rPr>
            <x:rFont val="굴림"/>
            <x:sz val="11"/>
            <x:color rgb="ff000000"/>
          </x:rPr>
          <x:t>차량번호 8330
어머님 7717</x:t>
        </x:r>
      </x:text>
    </x:comment>
    <x:comment ref="L32:L32" authorId="0">
      <x:text>
        <x:r>
          <x:rPr>
            <x:rFont val="굴림"/>
            <x:sz val="11"/>
            <x:color rgb="ff000000"/>
          </x:rPr>
          <x:t>7/27 보강예정</x:t>
        </x:r>
      </x:text>
    </x:comment>
    <x:comment ref="L47:L47" authorId="0">
      <x:text>
        <x:r>
          <x:rPr>
            <x:rFont val="굴림"/>
            <x:sz val="11"/>
            <x:color rgb="ff000000"/>
          </x:rPr>
          <x:t>7/27 보강</x:t>
        </x:r>
      </x:text>
    </x:comment>
    <x:comment ref="L34:L34" authorId="0">
      <x:text>
        <x:r>
          <x:rPr>
            <x:rFont val="굴림"/>
            <x:sz val="11"/>
            <x:color rgb="ff000000"/>
            <x:b val="1"/>
          </x:rPr>
          <x:t>주현:
7/27 - 14:00</x:t>
        </x:r>
      </x:text>
    </x:comment>
    <x:comment ref="L33:L33" authorId="0">
      <x:text>
        <x:r>
          <x:rPr>
            <x:rFont val="굴림"/>
            <x:sz val="11"/>
            <x:color rgb="ff000000"/>
          </x:rPr>
          <x:t>7/17 보강</x:t>
        </x:r>
      </x:text>
    </x:comment>
    <x:comment ref="L18:L18" authorId="0">
      <x:text>
        <x:r>
          <x:rPr>
            <x:rFont val="굴림"/>
            <x:sz val="11"/>
            <x:color rgb="ff000000"/>
          </x:rPr>
          <x:t>7/3 보강</x:t>
        </x:r>
      </x:text>
    </x:comment>
    <x:comment ref="L15:L15" authorId="0">
      <x:text>
        <x:r>
          <x:rPr>
            <x:rFont val="굴림"/>
            <x:sz val="11"/>
            <x:color rgb="ff000000"/>
          </x:rPr>
          <x:t>인후염으로 인해 결석</x:t>
        </x:r>
      </x:text>
    </x:comment>
    <x:comment ref="N18:N18" authorId="0">
      <x:text>
        <x:r>
          <x:rPr>
            <x:rFont val="굴림"/>
            <x:sz val="9"/>
            <x:color rgb="ff000000"/>
            <x:b val="1"/>
          </x:rPr>
          <x:t>이유경:
7/20 보강</x:t>
        </x:r>
      </x:text>
    </x:comment>
    <x:comment ref="O34:O34" authorId="0">
      <x:text>
        <x:r>
          <x:rPr>
            <x:rFont val="굴림"/>
            <x:sz val="11"/>
            <x:color rgb="ff000000"/>
          </x:rPr>
          <x:t>8/25 보강</x:t>
        </x:r>
      </x:text>
    </x:comment>
    <x:comment ref="N21:N21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보강 예정</x:t>
        </x:r>
      </x:text>
    </x:comment>
    <x:comment ref="O18:O18" authorId="0">
      <x:text>
        <x:r>
          <x:rPr>
            <x:rFont val="굴림"/>
            <x:sz val="11"/>
            <x:color rgb="ff000000"/>
            <x:b val="1"/>
          </x:rPr>
          <x:t>8/7</x:t>
        </x:r>
      </x:text>
    </x:comment>
    <x:comment ref="O27:O27" authorId="0">
      <x:text>
        <x:r>
          <x:rPr>
            <x:rFont val="굴림"/>
            <x:sz val="11"/>
            <x:color rgb="ff000000"/>
            <x:b val="1"/>
          </x:rPr>
          <x:t>주현:
8/9 가족일정</x:t>
        </x:r>
      </x:text>
    </x:comment>
    <x:comment ref="O22:O22" authorId="0">
      <x:text>
        <x:r>
          <x:rPr>
            <x:rFont val="굴림"/>
            <x:sz val="9"/>
            <x:color rgb="ff000000"/>
            <x:b val="1"/>
          </x:rPr>
          <x:t>주현:
13:36 - 아파서 결석
(운동회 불참)
보강예정</x:t>
        </x:r>
      </x:text>
    </x:comment>
    <x:comment ref="O19:O19" authorId="0">
      <x:text>
        <x:r>
          <x:rPr>
            <x:rFont val="굴림"/>
            <x:sz val="11"/>
            <x:color rgb="ff000000"/>
          </x:rPr>
          <x:t>초4 1 7세 1</x:t>
        </x:r>
      </x:text>
    </x:comment>
    <x:comment ref="O20:O20" authorId="0">
      <x:text>
        <x:r>
          <x:rPr>
            <x:rFont val="굴림"/>
            <x:sz val="11"/>
            <x:color rgb="ff000000"/>
          </x:rPr>
          <x:t>8/4 보강</x:t>
        </x:r>
      </x:text>
    </x:comment>
    <x:comment ref="Q18:Q18" authorId="0">
      <x:text>
        <x:r>
          <x:rPr>
            <x:rFont val="굴림"/>
            <x:sz val="11"/>
            <x:color rgb="ff000000"/>
          </x:rPr>
          <x:t xml:space="preserve">8/26 보강
</x:t>
        </x:r>
      </x:text>
    </x:comment>
    <x:comment ref="R18:R18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Q19:Q19" authorId="0">
      <x:text>
        <x:r>
          <x:rPr>
            <x:rFont val="굴림"/>
            <x:sz val="11"/>
            <x:color rgb="ff000000"/>
          </x:rPr>
          <x:t xml:space="preserve">8/28 보강
</x:t>
        </x:r>
      </x:text>
    </x:comment>
    <x:comment ref="Q33:Q33" authorId="0">
      <x:text>
        <x:r>
          <x:rPr>
            <x:rFont val="굴림"/>
            <x:sz val="11"/>
            <x:color rgb="ff000000"/>
          </x:rPr>
          <x:t>8/20 보강
스페셜</x:t>
        </x:r>
      </x:text>
    </x:comment>
    <x:comment ref="Q17:Q17" authorId="0">
      <x:text>
        <x:r>
          <x:rPr>
            <x:rFont val="굴림"/>
            <x:sz val="11"/>
            <x:color rgb="ff000000"/>
          </x:rPr>
          <x:t xml:space="preserve">8/16 보강
</x:t>
        </x:r>
      </x:text>
    </x:comment>
    <x:comment ref="R27:R27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김연호 7세
010-3513-9292</x:t>
        </x:r>
      </x:text>
    </x:comment>
    <x:comment ref="R16:R16" authorId="0">
      <x:text>
        <x:r>
          <x:rPr>
            <x:rFont val="굴림"/>
            <x:sz val="11"/>
            <x:color rgb="ff000000"/>
          </x:rPr>
          <x:t xml:space="preserve">손가락 부상으로 결석
</x:t>
        </x:r>
      </x:text>
    </x:comment>
    <x:comment ref="R19:R19" authorId="0">
      <x:text>
        <x:r>
          <x:rPr>
            <x:rFont val="굴림"/>
            <x:sz val="11"/>
            <x:color rgb="ff000000"/>
          </x:rPr>
          <x:t xml:space="preserve">날짜 착각하셔서 월 5회 진행 
결제 완료
</x:t>
        </x:r>
      </x:text>
    </x:comment>
    <x:comment ref="B37:B37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47거4873</x:t>
        </x:r>
      </x:text>
    </x:comment>
    <x:comment ref="T42:T42" authorId="0">
      <x:text>
        <x:r>
          <x:rPr>
            <x:rFont val="굴림"/>
            <x:sz val="11"/>
            <x:color rgb="ff000000"/>
            <x:b val="1"/>
          </x:rPr>
          <x:t>주현:
무단결석이나 예외적 보강 (카카오채널)</x:t>
        </x:r>
      </x:text>
    </x:comment>
    <x:comment ref="B42:B42" authorId="0">
      <x:text>
        <x:r>
          <x:rPr>
            <x:rFont val="굴림"/>
            <x:sz val="11"/>
            <x:color rgb="ff000000"/>
          </x:rPr>
          <x:t>할머님 차량번호
9417
어머님 차량번호
1539
아버님 차량번호
9349</x:t>
        </x:r>
      </x:text>
    </x:comment>
    <x:comment ref="Y40:Y40" authorId="0">
      <x:text>
        <x:r>
          <x:rPr>
            <x:rFont val="굴림"/>
            <x:sz val="9"/>
            <x:color rgb="ff000000"/>
            <x:b val="1"/>
          </x:rPr>
          <x:t>결석 통보(네이버톡톡)</x:t>
        </x:r>
      </x:text>
    </x:comment>
    <x:comment ref="Y29:Y29" authorId="0">
      <x:text>
        <x:r>
          <x:rPr>
            <x:rFont val="굴림"/>
            <x:sz val="9"/>
            <x:color rgb="ff000000"/>
            <x:b val="1"/>
          </x:rPr>
          <x:t>아파서 결석</x:t>
        </x:r>
      </x:text>
    </x:comment>
    <x:comment ref="Y28:Y28" authorId="0">
      <x:text>
        <x:r>
          <x:rPr>
            <x:rFont val="굴림"/>
            <x:sz val="9"/>
            <x:color rgb="ff000000"/>
            <x:b val="1"/>
          </x:rPr>
          <x:t>할아버지 생신</x:t>
        </x:r>
      </x:text>
    </x:comment>
    <x:comment ref="AB27:AB27" authorId="0">
      <x:text>
        <x:r>
          <x:rPr>
            <x:rFont val="굴림"/>
            <x:sz val="11"/>
            <x:color rgb="ff000000"/>
            <x:b val="1"/>
          </x:rPr>
          <x:t>이하은(초1) 7119-3449
(다현이 친구)</x:t>
        </x:r>
      </x:text>
    </x:comment>
    <x:comment ref="AA27:AA27" authorId="0">
      <x:text>
        <x:r>
          <x:rPr>
            <x:rFont val="굴림"/>
            <x:sz val="11"/>
            <x:color rgb="ff000000"/>
            <x:b val="1"/>
          </x:rPr>
          <x:t>10/27</x:t>
        </x:r>
      </x:text>
    </x:comment>
    <x:comment ref="L31:L31" authorId="0">
      <x:text>
        <x:r>
          <x:rPr>
            <x:rFont val="굴림"/>
            <x:sz val="11"/>
            <x:color rgb="ff000000"/>
          </x:rPr>
          <x:t>7/27 보강예정</x:t>
        </x:r>
      </x:text>
    </x:comment>
    <x:comment ref="L30:L30" authorId="0">
      <x:text>
        <x:r>
          <x:rPr>
            <x:rFont val="굴림"/>
            <x:sz val="11"/>
            <x:color rgb="ff000000"/>
          </x:rPr>
          <x:t>7/27 보강예정</x:t>
        </x:r>
      </x:text>
    </x:comment>
  </x:commentList>
</x:comments>
</file>

<file path=xl/comments6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15:B15" authorId="0">
      <x:text>
        <x:r>
          <x:rPr>
            <x:rFont val="굴림"/>
            <x:sz val="11"/>
            <x:color rgb="ff000000"/>
          </x:rPr>
          <x:t xml:space="preserve">차량번호 6732
차량번호 7637 (어머니)
</x:t>
        </x:r>
        <x:r>
          <x:rPr>
            <x:rFont val="굴림"/>
            <x:sz val="10"/>
            <x:color rgb="ff000000"/>
          </x:rPr>
          <x:t>창의력과 실력이 매우 뛰어남
하고자 하는 의지도 강하고
가르치기 굉장히 좋은 아이 중에 하나
&lt;특징&gt;
장난꾸러기의 기질이 있어 사고도 치고,
장난도 많이치지만
혼낼건 혼내고 귀여우니 귀엽게 보면 됨</x:t>
        </x:r>
      </x:text>
    </x:comment>
    <x:comment ref="B16:B16" authorId="0">
      <x:text>
        <x:r>
          <x:rPr>
            <x:rFont val="굴림"/>
            <x:sz val="11"/>
            <x:color rgb="ff000000"/>
          </x:rPr>
          <x:t xml:space="preserve">차량번호 5088
</x:t>
        </x:r>
        <x:r>
          <x:rPr>
            <x:rFont val="굴림"/>
            <x:sz val="10"/>
            <x:color rgb="ff000000"/>
          </x:rPr>
          <x:t xml:space="preserve">
자세가 좋고, 알려주는만큼 엄청나게 잘함
허나 소심하고 말수가 적어서 친화력에 걱정은 되지만,
가끔 장난치면 잘 웃고 잘 받아줌
&lt;특징&gt;
아토피가 심해 운동을 해본 적이 없어 체력이 약함
피부가 약해 상처 등에 주의 요망</x:t>
        </x:r>
      </x:text>
    </x:comment>
    <x:comment ref="B38:B38" authorId="0">
      <x:text>
        <x:r>
          <x:rPr>
            <x:rFont val="굴림"/>
            <x:sz val="10"/>
            <x:color rgb="ff000000"/>
          </x:rPr>
          <x:t>여도현: 다 잘 함. 가끔 수업할 때 끼어드는 거만 주의 주면 됨</x:t>
        </x:r>
      </x:text>
    </x:comment>
    <x:comment ref="B46:B46" authorId="0">
      <x:text>
        <x:r>
          <x:rPr>
            <x:rFont val="굴림"/>
            <x:sz val="10"/>
            <x:color rgb="ff000000"/>
          </x:rPr>
          <x:t>방혜은:
무리해서 타는 경우가 많음
억지로 타면 직접 내려오라고 말해줘야함</x:t>
        </x:r>
      </x:text>
    </x:comment>
    <x:comment ref="B47:B47" authorId="0">
      <x:text>
        <x:r>
          <x:rPr>
            <x:rFont val="굴림"/>
            <x:sz val="10"/>
            <x:color rgb="ff000000"/>
          </x:rPr>
          <x:t>방혜은:
루트 잘 타고 체력좋음
볼더링 약함</x:t>
        </x:r>
      </x:text>
    </x:comment>
    <x:comment ref="B55:B55" authorId="0">
      <x:text>
        <x:r>
          <x:rPr>
            <x:rFont val="굴림"/>
            <x:sz val="10"/>
            <x:color rgb="ff000000"/>
          </x:rPr>
          <x:t>유철
건후와 가령 남매는
할머니에게 주로 연락해주세요
-
여도현: 많이 까불고 말 많음. 
다 받아주지 말 것. 다 잘 타는데 리치가 아직 짧아서 제약이 있음</x:t>
        </x:r>
      </x:text>
    </x:comment>
    <x:comment ref="K36:K36" authorId="0">
      <x:text>
        <x:r>
          <x:rPr>
            <x:rFont val="굴림"/>
            <x:sz val="12"/>
            <x:color rgb="ff000000"/>
          </x:rPr>
          <x:t>유철
6/3(선거날) 보강</x:t>
        </x:r>
      </x:text>
    </x:comment>
    <x:comment ref="L36:L36" authorId="0">
      <x:text>
        <x:r>
          <x:rPr>
            <x:rFont val="굴림"/>
            <x:sz val="12"/>
            <x:color rgb="ff000000"/>
          </x:rPr>
          <x:t>유철
7/4 보강</x:t>
        </x:r>
      </x:text>
    </x:comment>
    <x:comment ref="I9:I9" authorId="0">
      <x:text>
        <x:r>
          <x:rPr>
            <x:rFont val="굴림"/>
            <x:sz val="11"/>
            <x:color rgb="ff000000"/>
            <x:b val="1"/>
          </x:rPr>
          <x:t>이주현: 
10:05 부재중</x:t>
        </x:r>
      </x:text>
    </x:comment>
    <x:comment ref="B48:B48" authorId="0">
      <x:text>
        <x:r>
          <x:rPr>
            <x:rFont val="굴림"/>
            <x:sz val="11"/>
            <x:color rgb="ff000000"/>
            <x:b val="1"/>
          </x:rPr>
          <x:t xml:space="preserve">차량번호 5636
</x:t>
        </x:r>
        <x:r>
          <x:rPr>
            <x:rFont val="굴림"/>
            <x:sz val="10"/>
            <x:color rgb="ff000000"/>
          </x:rPr>
          <x:t xml:space="preserve">
신성훈
기본기와 기량 및 잠재력이 매우 뛰어나나 비교적 미흡함.
&lt;특징&gt;
특이사항 없음.</x:t>
        </x:r>
      </x:text>
    </x:comment>
    <x:comment ref="J50:J50" authorId="0">
      <x:text>
        <x:r>
          <x:rPr>
            <x:rFont val="굴림"/>
            <x:sz val="11"/>
            <x:color rgb="ff000000"/>
          </x:rPr>
          <x:t>초6 여 1
성인 여성 둘</x:t>
        </x:r>
      </x:text>
    </x:comment>
    <x:comment ref="K45:K45" authorId="0">
      <x:text>
        <x:r>
          <x:rPr>
            <x:rFont val="굴림"/>
            <x:sz val="11"/>
            <x:color rgb="ff000000"/>
            <x:b val="1"/>
          </x:rPr>
          <x:t>유우주/ 초2
8891-6510</x:t>
        </x:r>
      </x:text>
    </x:comment>
    <x:comment ref="K52:K52" authorId="0">
      <x:text>
        <x:r>
          <x:rPr>
            <x:rFont val="굴림"/>
            <x:sz val="11"/>
            <x:color rgb="ff000000"/>
            <x:b val="1"/>
          </x:rPr>
          <x:t>이주현:
7/6 - 15:00</x:t>
        </x:r>
      </x:text>
    </x:comment>
    <x:comment ref="K54:K54" authorId="0">
      <x:text>
        <x:r>
          <x:rPr>
            <x:rFont val="굴림"/>
            <x:sz val="11"/>
            <x:color rgb="ff000000"/>
          </x:rPr>
          <x:t>남2 여2
신유안(7세)
7165-7152
박다인(초1)
박다겸(6세)
8901-5238
천제희/ 6세/
2387-9508</x:t>
        </x:r>
      </x:text>
    </x:comment>
    <x:comment ref="K50:K50" authorId="0">
      <x:text>
        <x:r>
          <x:rPr>
            <x:rFont val="굴림"/>
            <x:sz val="11"/>
            <x:color rgb="ff000000"/>
            <x:b val="1"/>
          </x:rPr>
          <x:t>이주현:
7/6 - 15:00</x:t>
        </x:r>
      </x:text>
    </x:comment>
    <x:comment ref="O50:O50" authorId="0">
      <x:text>
        <x:r>
          <x:rPr>
            <x:rFont val="굴림"/>
            <x:sz val="11"/>
            <x:color rgb="ff000000"/>
          </x:rPr>
          <x:t>8/3 보강
남매</x:t>
        </x:r>
      </x:text>
    </x:comment>
    <x:comment ref="L52:L52" authorId="0">
      <x:text>
        <x:r>
          <x:rPr>
            <x:rFont val="굴림"/>
            <x:sz val="11"/>
            <x:color rgb="ff000000"/>
          </x:rPr>
          <x:t>7/25 보강</x:t>
        </x:r>
      </x:text>
    </x:comment>
    <x:comment ref="L50:L50" authorId="0">
      <x:text>
        <x:r>
          <x:rPr>
            <x:rFont val="굴림"/>
            <x:sz val="11"/>
            <x:color rgb="ff000000"/>
          </x:rPr>
          <x:t>7/1 보강</x:t>
        </x:r>
      </x:text>
    </x:comment>
    <x:comment ref="L54:L54" authorId="0">
      <x:text>
        <x:r>
          <x:rPr>
            <x:rFont val="굴림"/>
            <x:sz val="11"/>
            <x:color rgb="ff000000"/>
          </x:rPr>
          <x:t>7/8 보강</x:t>
        </x:r>
      </x:text>
    </x:comment>
    <x:comment ref="L21:L21" authorId="0">
      <x:text>
        <x:r>
          <x:rPr>
            <x:rFont val="굴림"/>
            <x:sz val="11"/>
            <x:color rgb="ff000000"/>
          </x:rPr>
          <x:t>7/18 보강</x:t>
        </x:r>
      </x:text>
    </x:comment>
    <x:comment ref="L62:L62" authorId="0">
      <x:text>
        <x:r>
          <x:rPr>
            <x:rFont val="굴림"/>
            <x:sz val="9"/>
            <x:color rgb="ff000000"/>
            <x:b val="1"/>
          </x:rPr>
          <x:t>주한 출석
주현 미출석 (교회)</x:t>
        </x:r>
      </x:text>
    </x:comment>
    <x:comment ref="Q12:Q12" authorId="0">
      <x:text>
        <x:r>
          <x:rPr>
            <x:rFont val="굴림"/>
            <x:sz val="11"/>
            <x:color rgb="ff000000"/>
            <x:b val="1"/>
          </x:rPr>
          <x:t>주현:
8/3 (휴가 결석)</x:t>
        </x:r>
      </x:text>
    </x:comment>
    <x:comment ref="P12:P12" authorId="0">
      <x:text>
        <x:r>
          <x:rPr>
            <x:rFont val="굴림"/>
            <x:sz val="11"/>
            <x:color rgb="ff000000"/>
            <x:b val="1"/>
          </x:rPr>
          <x:t>7/12
(발목부상 결석)</x:t>
        </x:r>
      </x:text>
    </x:comment>
    <x:comment ref="O12:O12" authorId="0">
      <x:text>
        <x:r>
          <x:rPr>
            <x:rFont val="굴림"/>
            <x:sz val="11"/>
            <x:color rgb="ff000000"/>
            <x:b val="1"/>
          </x:rPr>
          <x:t>7/5
(발목부상 결석)</x:t>
        </x:r>
      </x:text>
    </x:comment>
    <x:comment ref="O55:O55" authorId="0">
      <x:text>
        <x:r>
          <x:rPr>
            <x:rFont val="굴림"/>
            <x:sz val="9"/>
            <x:color rgb="ff000000"/>
            <x:b val="1"/>
          </x:rPr>
          <x:t>이유경:
250809 16:11 통화 -&gt; 휴가로 결석</x:t>
        </x:r>
      </x:text>
    </x:comment>
    <x:comment ref="P11:P11" authorId="0">
      <x:text>
        <x:r>
          <x:rPr>
            <x:rFont val="굴림"/>
            <x:sz val="11"/>
            <x:color rgb="ff000000"/>
          </x:rPr>
          <x:t>8/17 보강</x:t>
        </x:r>
      </x:text>
    </x:comment>
    <x:comment ref="Q50:Q50" authorId="0">
      <x:text>
        <x:r>
          <x:rPr>
            <x:rFont val="굴림"/>
            <x:sz val="11"/>
            <x:color rgb="ff000000"/>
          </x:rPr>
          <x:t>8/17 보강</x:t>
        </x:r>
      </x:text>
    </x:comment>
    <x:comment ref="P50:P50" authorId="0">
      <x:text>
        <x:r>
          <x:rPr>
            <x:rFont val="굴림"/>
            <x:sz val="9"/>
            <x:color rgb="ff000000"/>
            <x:b val="1"/>
          </x:rPr>
          <x:t>이유경:
8/16 당일 결석
11:00 보강</x:t>
        </x:r>
      </x:text>
    </x:comment>
    <x:comment ref="P46:P46" authorId="0">
      <x:text>
        <x:r>
          <x:rPr>
            <x:rFont val="굴림"/>
            <x:sz val="11"/>
            <x:color rgb="ff000000"/>
            <x:b val="1"/>
          </x:rPr>
          <x:t>주현:
15:04 부재중</x:t>
        </x:r>
      </x:text>
    </x:comment>
    <x:comment ref="Q52:Q52" authorId="0">
      <x:text>
        <x:r>
          <x:rPr>
            <x:rFont val="굴림"/>
            <x:sz val="9"/>
            <x:color rgb="ff000000"/>
            <x:b val="1"/>
          </x:rPr>
          <x:t>8/21 보강</x:t>
        </x:r>
      </x:text>
    </x:comment>
    <x:comment ref="Q46:Q46" authorId="0">
      <x:text>
        <x:r>
          <x:rPr>
            <x:rFont val="굴림"/>
            <x:sz val="9"/>
            <x:color rgb="ff000000"/>
            <x:b val="1"/>
          </x:rPr>
          <x:t>8월중 보강</x:t>
        </x:r>
      </x:text>
    </x:comment>
    <x:comment ref="R37:R37" authorId="0">
      <x:text>
        <x:r>
          <x:rPr>
            <x:rFont val="굴림"/>
            <x:sz val="11"/>
            <x:color rgb="ff000000"/>
          </x:rPr>
          <x:t xml:space="preserve">8/21 보강
</x:t>
        </x:r>
      </x:text>
    </x:comment>
    <x:comment ref="P44:P44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O44:O44" authorId="0">
      <x:text>
        <x:r>
          <x:rPr>
            <x:rFont val="굴림"/>
            <x:sz val="11"/>
            <x:color rgb="ff000000"/>
            <x:b val="1"/>
          </x:rPr>
          <x:t>김찬 (9세)
김길숙 (38세)
모자 관계</x:t>
        </x:r>
      </x:text>
    </x:comment>
    <x:comment ref="P45:P45" authorId="0">
      <x:text>
        <x:r>
          <x:rPr>
            <x:rFont val="굴림"/>
            <x:sz val="11"/>
            <x:color rgb="ff000000"/>
            <x:b val="1"/>
          </x:rPr>
          <x:t>8/17 (가족일정)</x:t>
        </x:r>
      </x:text>
    </x:comment>
    <x:comment ref="S39:S39" authorId="0">
      <x:text>
        <x:r>
          <x:rPr>
            <x:rFont val="굴림"/>
            <x:sz val="9"/>
            <x:color rgb="ff000000"/>
            <x:b val="1"/>
          </x:rPr>
          <x:t>이유경:
카카오채널</x:t>
        </x:r>
      </x:text>
    </x:comment>
    <x:comment ref="I10:I10" authorId="0">
      <x:text>
        <x:r>
          <x:rPr>
            <x:rFont val="굴림"/>
            <x:sz val="11"/>
            <x:color rgb="ff000000"/>
            <x:b val="1"/>
          </x:rPr>
          <x:t>이주현: 
10:05 부재중</x:t>
        </x:r>
      </x:text>
    </x:comment>
    <x:comment ref="Q10:Q10" authorId="0">
      <x:text>
        <x:r>
          <x:rPr>
            <x:rFont val="굴림"/>
            <x:sz val="11"/>
            <x:color rgb="ff000000"/>
            <x:b val="1"/>
          </x:rPr>
          <x:t>8/23 10:17 시험으로 결석한다고 통화 확인(보강x)</x:t>
        </x:r>
      </x:text>
    </x:comment>
    <x:comment ref="O34:O34" authorId="0">
      <x:text>
        <x:r>
          <x:rPr>
            <x:rFont val="굴림"/>
            <x:sz val="11"/>
            <x:color rgb="ff000000"/>
          </x:rPr>
          <x:t>8/4 보강</x:t>
        </x:r>
      </x:text>
    </x:comment>
    <x:comment ref="V51:V51" authorId="0">
      <x:text>
        <x:r>
          <x:rPr>
            <x:rFont val="굴림"/>
            <x:sz val="11"/>
            <x:color rgb="ff000000"/>
            <x:b val="1"/>
          </x:rPr>
          <x:t>9/15 (월)</x:t>
        </x:r>
      </x:text>
    </x:comment>
    <x:comment ref="T20:T20" authorId="0">
      <x:text>
        <x:r>
          <x:rPr>
            <x:rFont val="굴림"/>
            <x:sz val="11"/>
            <x:color rgb="ff000000"/>
            <x:b val="1"/>
          </x:rPr>
          <x:t>9/14</x:t>
        </x:r>
      </x:text>
    </x:comment>
    <x:comment ref="U51:U51" authorId="0">
      <x:text>
        <x:r>
          <x:rPr>
            <x:rFont val="굴림"/>
            <x:sz val="9"/>
            <x:color rgb="ff000000"/>
            <x:b val="1"/>
          </x:rPr>
          <x:t>9/20 11:00 -&gt; 15:00</x:t>
        </x:r>
      </x:text>
    </x:comment>
    <x:comment ref="T51:T51" authorId="0">
      <x:text>
        <x:r>
          <x:rPr>
            <x:rFont val="굴림"/>
            <x:sz val="9"/>
            <x:color rgb="ff000000"/>
            <x:b val="1"/>
          </x:rPr>
          <x:t>13:00 -&gt; 15:00</x:t>
        </x:r>
      </x:text>
    </x:comment>
    <x:comment ref="T52:T52" authorId="0">
      <x:text>
        <x:r>
          <x:rPr>
            <x:rFont val="굴림"/>
            <x:sz val="9"/>
            <x:color rgb="ff000000"/>
            <x:b val="1"/>
          </x:rPr>
          <x:t>13:00</x:t>
        </x:r>
      </x:text>
    </x:comment>
    <x:comment ref="U20:U20" authorId="0">
      <x:text>
        <x:r>
          <x:rPr>
            <x:rFont val="굴림"/>
            <x:sz val="11"/>
            <x:color rgb="ff000000"/>
            <x:b val="1"/>
          </x:rPr>
          <x:t>9/14</x:t>
        </x:r>
      </x:text>
    </x:comment>
    <x:comment ref="U21:U21" authorId="0">
      <x:text>
        <x:r>
          <x:rPr>
            <x:rFont val="굴림"/>
            <x:sz val="11"/>
            <x:color rgb="ff000000"/>
            <x:b val="1"/>
          </x:rPr>
          <x:t>9/12 (스페셜)</x:t>
        </x:r>
      </x:text>
    </x:comment>
    <x:comment ref="U46:U46" authorId="0">
      <x:text>
        <x:r>
          <x:rPr>
            <x:rFont val="굴림"/>
            <x:sz val="9"/>
            <x:color rgb="ff000000"/>
            <x:b val="1"/>
          </x:rPr>
          <x:t>주현:
태권도에서 손가락 부상으로 결석</x:t>
        </x:r>
      </x:text>
    </x:comment>
    <x:comment ref="V44:V44" authorId="0">
      <x:text>
        <x:r>
          <x:rPr>
            <x:rFont val="굴림"/>
            <x:sz val="9"/>
            <x:color rgb="ff000000"/>
            <x:b val="1"/>
          </x:rPr>
          <x:t>주현:
9/21, 전화</x:t>
        </x:r>
      </x:text>
    </x:comment>
    <x:comment ref="Y51:Y51" authorId="0">
      <x:text>
        <x:r>
          <x:rPr>
            <x:rFont val="굴림"/>
            <x:sz val="11"/>
            <x:color rgb="ff000000"/>
            <x:b val="1"/>
          </x:rPr>
          <x:t>9/28(일)
- 일정으로 보강 결석</x:t>
        </x:r>
      </x:text>
    </x:comment>
    <x:comment ref="V46:V46" authorId="0">
      <x:text>
        <x:r>
          <x:rPr>
            <x:rFont val="굴림"/>
            <x:sz val="9"/>
            <x:color rgb="ff000000"/>
            <x:b val="1"/>
          </x:rPr>
          <x:t xml:space="preserve">이유경:
</x:t>
        </x:r>
        <x:r>
          <x:rPr>
            <x:rFont val="굴림"/>
            <x:sz val="9"/>
            <x:color rgb="ff000000"/>
          </x:rPr>
          <x:t>15:06 부재중</x:t>
        </x:r>
      </x:text>
    </x:comment>
    <x:comment ref="K53:K53" authorId="0">
      <x:text>
        <x:r>
          <x:rPr>
            <x:rFont val="굴림"/>
            <x:sz val="12"/>
            <x:color rgb="ff000000"/>
          </x:rPr>
          <x:t>유철
6/3(선거날) 보강</x:t>
        </x:r>
      </x:text>
    </x:comment>
    <x:comment ref="L53:L53" authorId="0">
      <x:text>
        <x:r>
          <x:rPr>
            <x:rFont val="굴림"/>
            <x:sz val="12"/>
            <x:color rgb="ff000000"/>
          </x:rPr>
          <x:t>유철
7/4 보강</x:t>
        </x:r>
      </x:text>
    </x:comment>
    <x:comment ref="B31:B31" authorId="0">
      <x:text>
        <x:r>
          <x:rPr>
            <x:rFont val="굴림"/>
            <x:sz val="10"/>
            <x:color rgb="ff000000"/>
          </x:rPr>
          <x:t>손에 땀 많음</x:t>
        </x:r>
      </x:text>
    </x:comment>
    <x:comment ref="O33:O33" authorId="0">
      <x:text>
        <x:r>
          <x:rPr>
            <x:rFont val="굴림"/>
            <x:sz val="11"/>
            <x:color rgb="ff000000"/>
          </x:rPr>
          <x:t>8/4 보강</x:t>
        </x:r>
      </x:text>
    </x:comment>
    <x:comment ref="Y30:Y30" authorId="0">
      <x:text>
        <x:r>
          <x:rPr>
            <x:rFont val="굴림"/>
            <x:sz val="11"/>
            <x:color rgb="ff000000"/>
            <x:b val="1"/>
          </x:rPr>
          <x:t>주현:
13:04 부재중</x:t>
        </x:r>
      </x:text>
    </x:comment>
    <x:comment ref="B33:B33" authorId="0">
      <x:text>
        <x:r>
          <x:rPr>
            <x:rFont val="굴림"/>
            <x:sz val="9"/>
            <x:color rgb="ff000000"/>
            <x:b val="1"/>
          </x:rPr>
          <x:t>할머니 차량
8008</x:t>
        </x:r>
      </x:text>
    </x:comment>
    <x:comment ref="Y46:Y46" authorId="0">
      <x:text>
        <x:r>
          <x:rPr>
            <x:rFont val="굴림"/>
            <x:sz val="9"/>
            <x:color rgb="ff000000"/>
            <x:b val="1"/>
          </x:rPr>
          <x:t>15:00 부재중</x:t>
        </x:r>
      </x:text>
    </x:comment>
    <x:comment ref="B50:B50" authorId="0">
      <x:text>
        <x:r>
          <x:rPr>
            <x:rFont val="굴림"/>
            <x:sz val="9"/>
            <x:color rgb="ff000000"/>
            <x:b val="1"/>
          </x:rPr>
          <x:t>어머니 차량
0798</x:t>
        </x:r>
      </x:text>
    </x:comment>
    <x:comment ref="P43:P43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O43:O43" authorId="0">
      <x:text>
        <x:r>
          <x:rPr>
            <x:rFont val="굴림"/>
            <x:sz val="11"/>
            <x:color rgb="ff000000"/>
            <x:b val="1"/>
          </x:rPr>
          <x:t>김찬 (9세)
김길숙 (38세)
모자 관계</x:t>
        </x:r>
      </x:text>
    </x:comment>
    <x:comment ref="V43:V43" authorId="0">
      <x:text>
        <x:r>
          <x:rPr>
            <x:rFont val="굴림"/>
            <x:sz val="9"/>
            <x:color rgb="ff000000"/>
            <x:b val="1"/>
          </x:rPr>
          <x:t>주현:
9/21, 전화</x:t>
        </x:r>
      </x:text>
    </x:comment>
    <x:comment ref="Z16:Z16" authorId="0">
      <x:text>
        <x:r>
          <x:rPr>
            <x:rFont val="굴림"/>
            <x:sz val="9"/>
            <x:color rgb="ff000000"/>
            <x:b val="1"/>
          </x:rPr>
          <x:t>가려움증 심해서 결석
10:54 전화(보강 예정)</x:t>
        </x:r>
      </x:text>
    </x:comment>
    <x:comment ref="Z53:Z53" authorId="0">
      <x:text>
        <x:r>
          <x:rPr>
            <x:rFont val="굴림"/>
            <x:sz val="11"/>
            <x:color rgb="ff000000"/>
            <x:b val="1"/>
          </x:rPr>
          <x:t>주현: 15:02 통화
- 갈 곳이 있어서 결석
- 보강X</x:t>
        </x:r>
      </x:text>
    </x:comment>
    <x:comment ref="AA30:AA30" authorId="0">
      <x:text>
        <x:r>
          <x:rPr>
            <x:rFont val="굴림"/>
            <x:sz val="9"/>
            <x:color rgb="ff000000"/>
            <x:b val="1"/>
          </x:rPr>
          <x:t>13:02경 전화하였으나 안받음</x:t>
        </x:r>
      </x:text>
    </x:comment>
    <x:comment ref="AA53:AA53" authorId="0">
      <x:text>
        <x:r>
          <x:rPr>
            <x:rFont val="굴림"/>
            <x:sz val="10"/>
            <x:color rgb="ff000000"/>
          </x:rPr>
          <x:t>방혜은:
15:04 
아버님 통화
결혼식으로 결석</x:t>
        </x:r>
      </x:text>
    </x:comment>
    <x:comment ref="Z50:Z50" authorId="0">
      <x:text>
        <x:r>
          <x:rPr>
            <x:rFont val="굴림"/>
            <x:sz val="9"/>
            <x:color rgb="ff000000"/>
            <x:b val="1"/>
          </x:rPr>
          <x:t xml:space="preserve">골반에 염증 -&gt; 2주 치료 예정 -&gt; 완쾌 시 연락 주실 예정
</x:t>
        </x:r>
      </x:text>
    </x:comment>
    <x:comment ref="AD20:AD20" authorId="0">
      <x:text>
        <x:r>
          <x:rPr>
            <x:rFont val="굴림"/>
            <x:sz val="11"/>
            <x:color rgb="ff000000"/>
            <x:b val="1"/>
          </x:rPr>
          <x:t>11/2</x:t>
        </x:r>
      </x:text>
    </x:comment>
    <x:comment ref="AC31:AC31" authorId="0">
      <x:text>
        <x:r>
          <x:rPr>
            <x:rFont val="굴림"/>
            <x:sz val="11"/>
            <x:color rgb="ff000000"/>
            <x:b val="1"/>
          </x:rPr>
          <x:t>주현:
가족여행 (10/29 18:31 전화)</x:t>
        </x:r>
      </x:text>
    </x:comment>
    <x:comment ref="B19:B19" authorId="0">
      <x:text>
        <x:r>
          <x:rPr>
            <x:rFont val="굴림"/>
            <x:sz val="11"/>
            <x:color rgb="ff000000"/>
            <x:b val="1"/>
          </x:rPr>
          <x:t>주현:
스포츠바우처 1달씩
이월 결제 (매달)
ex) 7월 결제 &gt; 8월분</x:t>
        </x:r>
      </x:text>
    </x:comment>
    <x:comment ref="AM19:AM19" authorId="0">
      <x:text>
        <x:r>
          <x:rPr>
            <x:rFont val="굴림"/>
            <x:sz val="11"/>
            <x:color rgb="ff000000"/>
            <x:b val="1"/>
          </x:rPr>
          <x:t>주현:
스포츠바우처 1달씩
이월 결제 (매달)
ex) 7월 결제 &gt; 8월분</x:t>
        </x:r>
      </x:text>
    </x:comment>
    <x:comment ref="B6:B6" authorId="0">
      <x:text>
        <x:r>
          <x:rPr>
            <x:rFont val="굴림"/>
            <x:sz val="10"/>
            <x:color rgb="ff000000"/>
          </x:rPr>
          <x:t>차량번호 6297
방혜은: 억지로 타는 경향 있음
다칠 가능성 높은 아이이기때문에 억지로타면 내려오라고 말해주세요</x:t>
        </x:r>
      </x:text>
    </x:comment>
    <x:comment ref="B7:B7" authorId="0">
      <x:text>
        <x:r>
          <x:rPr>
            <x:rFont val="굴림"/>
            <x:sz val="10"/>
            <x:color rgb="ff000000"/>
          </x:rPr>
          <x:t xml:space="preserve">차량번호 6297
</x:t>
        </x:r>
      </x:text>
    </x:comment>
    <x:comment ref="I8:I8" authorId="0">
      <x:text>
        <x:r>
          <x:rPr>
            <x:rFont val="굴림"/>
            <x:sz val="11"/>
            <x:color rgb="ff000000"/>
            <x:b val="1"/>
          </x:rPr>
          <x:t>이주현: 
10:05 부재중</x:t>
        </x:r>
      </x:text>
    </x:comment>
    <x:comment ref="Q8:Q8" authorId="0">
      <x:text>
        <x:r>
          <x:rPr>
            <x:rFont val="굴림"/>
            <x:sz val="11"/>
            <x:color rgb="ff000000"/>
            <x:b val="1"/>
          </x:rPr>
          <x:t>8/23 10:17 시험으로 결석한다고 통화 확인(보강x)</x:t>
        </x:r>
      </x:text>
    </x:comment>
    <x:comment ref="S8:S8" authorId="0">
      <x:text>
        <x:r>
          <x:rPr>
            <x:rFont val="굴림"/>
            <x:sz val="11"/>
            <x:color rgb="ff000000"/>
          </x:rPr>
          <x:t xml:space="preserve">인대부상으로 2주 휴식 필요
</x:t>
        </x:r>
      </x:text>
    </x:comment>
    <x:comment ref="V8:V8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손바닥 부상으로 다음달 보강</x:t>
        </x:r>
      </x:text>
    </x:comment>
    <x:comment ref="P42:P42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P41:P41" authorId="0">
      <x:text>
        <x:r>
          <x:rPr>
            <x:rFont val="굴림"/>
            <x:sz val="9"/>
            <x:color rgb="ff000000"/>
            <x:b val="1"/>
          </x:rPr>
          <x:t>8/10 보강</x:t>
        </x:r>
      </x:text>
    </x:comment>
    <x:comment ref="O41:O41" authorId="0">
      <x:text>
        <x:r>
          <x:rPr>
            <x:rFont val="굴림"/>
            <x:sz val="11"/>
            <x:color rgb="ff000000"/>
            <x:b val="1"/>
          </x:rPr>
          <x:t>김찬 (9세)
김길숙 (38세)
모자 관계</x:t>
        </x:r>
      </x:text>
    </x:comment>
    <x:comment ref="O42:O42" authorId="0">
      <x:text>
        <x:r>
          <x:rPr>
            <x:rFont val="굴림"/>
            <x:sz val="11"/>
            <x:color rgb="ff000000"/>
            <x:b val="1"/>
          </x:rPr>
          <x:t>김찬 (9세)
김길숙 (38세)
모자 관계</x:t>
        </x:r>
      </x:text>
    </x:comment>
    <x:comment ref="Q41:Q41" authorId="0">
      <x:text>
        <x:r>
          <x:rPr>
            <x:rFont val="굴림"/>
            <x:sz val="11"/>
            <x:color rgb="ff000000"/>
          </x:rPr>
          <x:t xml:space="preserve">초6 남 1
</x:t>
        </x:r>
      </x:text>
    </x:comment>
    <x:comment ref="S41:S41" authorId="0">
      <x:text>
        <x:r>
          <x:rPr>
            <x:rFont val="굴림"/>
            <x:sz val="11"/>
            <x:color rgb="ff000000"/>
            <x:b val="1"/>
          </x:rPr>
          <x:t>우승민 (초3)
5645-2583</x:t>
        </x:r>
      </x:text>
    </x:comment>
    <x:comment ref="T41:T41" authorId="0">
      <x:text>
        <x:r>
          <x:rPr>
            <x:rFont val="굴림"/>
            <x:sz val="11"/>
            <x:color rgb="ff000000"/>
            <x:b val="1"/>
          </x:rPr>
          <x:t>9/7</x:t>
        </x:r>
      </x:text>
    </x:comment>
    <x:comment ref="U41:U41" authorId="0">
      <x:text>
        <x:r>
          <x:rPr>
            <x:rFont val="굴림"/>
            <x:sz val="11"/>
            <x:color rgb="ff000000"/>
            <x:b val="1"/>
          </x:rPr>
          <x:t>9/10</x:t>
        </x:r>
      </x:text>
    </x:comment>
    <x:comment ref="V42:V42" authorId="0">
      <x:text>
        <x:r>
          <x:rPr>
            <x:rFont val="굴림"/>
            <x:sz val="9"/>
            <x:color rgb="ff000000"/>
            <x:b val="1"/>
          </x:rPr>
          <x:t>주현:
9/21, 전화</x:t>
        </x:r>
      </x:text>
    </x:comment>
    <x:comment ref="B41:B41" authorId="0">
      <x:text>
        <x:r>
          <x:rPr>
            <x:rFont val="굴림"/>
            <x:sz val="11"/>
            <x:color rgb="ff000000"/>
            <x:b val="1"/>
          </x:rPr>
          <x:t>차량번호: 3945</x:t>
        </x:r>
      </x:text>
    </x:comment>
    <x:comment ref="B57:B57" authorId="0">
      <x:text>
        <x:r>
          <x:rPr>
            <x:rFont val="굴림"/>
            <x:sz val="10"/>
            <x:color rgb="ff000000"/>
          </x:rPr>
          <x:t>5792
8336
-
여도현: 다 잘 함. 엄청 활동적이고 
건후랑 티격태격 잘 하는 편.</x:t>
        </x:r>
      </x:text>
    </x:comment>
    <x:comment ref="B58:B58" authorId="0">
      <x:text>
        <x:r>
          <x:rPr>
            <x:rFont val="굴림"/>
            <x:sz val="10"/>
            <x:color rgb="ff000000"/>
          </x:rPr>
          <x:t>5647
여도현: 조용하고 낯 많이 가려서 많이 신경 써줘야함. 지구력은 잘 타지만 볼더링은 좀 약함.</x:t>
        </x:r>
      </x:text>
    </x:comment>
    <x:comment ref="L60:L60" authorId="0">
      <x:text>
        <x:r>
          <x:rPr>
            <x:rFont val="굴림"/>
            <x:sz val="11"/>
            <x:color rgb="ff000000"/>
            <x:b val="1"/>
          </x:rPr>
          <x:t xml:space="preserve">김세온 (초1)
2853-6395
</x:t>
        </x:r>
      </x:text>
    </x:comment>
    <x:comment ref="L59:L59" authorId="0">
      <x:text>
        <x:r>
          <x:rPr>
            <x:rFont val="굴림"/>
            <x:sz val="11"/>
            <x:color rgb="ff000000"/>
          </x:rPr>
          <x:t>7/18</x:t>
        </x:r>
      </x:text>
    </x:comment>
    <x:comment ref="N59:N59" authorId="0">
      <x:text>
        <x:r>
          <x:rPr>
            <x:rFont val="굴림"/>
            <x:sz val="11"/>
            <x:color rgb="ff000000"/>
            <x:b val="1"/>
          </x:rPr>
          <x:t xml:space="preserve">휴가로 보강예정
</x:t>
        </x:r>
      </x:text>
    </x:comment>
    <x:comment ref="P60:P60" authorId="0">
      <x:text>
        <x:r>
          <x:rPr>
            <x:rFont val="굴림"/>
            <x:sz val="11"/>
            <x:color rgb="ff000000"/>
            <x:b val="1"/>
          </x:rPr>
          <x:t>장윤우 / 6세 / 6742-0989</x:t>
        </x:r>
      </x:text>
    </x:comment>
    <x:comment ref="R60:R60" authorId="0">
      <x:text>
        <x:r>
          <x:rPr>
            <x:rFont val="굴림"/>
            <x:sz val="9"/>
            <x:color rgb="ff000000"/>
            <x:b val="1"/>
          </x:rPr>
          <x:t>이유경:
8/24 16:09 전화 &amp; 카카오채널
김서우 / 초3 / 여 / 여선생님 수업 원하심</x:t>
        </x:r>
      </x:text>
    </x:comment>
    <x:comment ref="V58:V58" authorId="0">
      <x:text>
        <x:r>
          <x:rPr>
            <x:rFont val="굴림"/>
            <x:sz val="9"/>
            <x:color rgb="ff000000"/>
            <x:b val="1"/>
          </x:rPr>
          <x:t>이유경:
보강 일정 불가능</x:t>
        </x:r>
      </x:text>
    </x:comment>
    <x:comment ref="V59:V59" authorId="0">
      <x:text>
        <x:r>
          <x:rPr>
            <x:rFont val="굴림"/>
            <x:sz val="11"/>
            <x:color rgb="ff000000"/>
            <x:b val="1"/>
          </x:rPr>
          <x:t>결석</x:t>
        </x:r>
      </x:text>
    </x:comment>
    <x:comment ref="N49:N49" authorId="0">
      <x:text>
        <x:r>
          <x:rPr>
            <x:rFont val="굴림"/>
            <x:sz val="9"/>
            <x:color rgb="ff000000"/>
            <x:b val="1"/>
          </x:rPr>
          <x:t>이유경:
8/4 16:04 전화
휴가로 결석</x:t>
        </x:r>
      </x:text>
    </x:comment>
    <x:comment ref="U49:U49" authorId="0">
      <x:text>
        <x:r>
          <x:rPr>
            <x:rFont val="굴림"/>
            <x:sz val="9"/>
            <x:color rgb="ff000000"/>
            <x:b val="1"/>
          </x:rPr>
          <x:t>이유경:
16:00 보강 (선 결석 후 연락)</x:t>
        </x:r>
      </x:text>
    </x:comment>
    <x:comment ref="AE8:AE8" authorId="0">
      <x:text>
        <x:r>
          <x:rPr>
            <x:rFont val="굴림"/>
            <x:sz val="11"/>
            <x:color rgb="ff000000"/>
            <x:b val="1"/>
          </x:rPr>
          <x:t xml:space="preserve">10/5
</x:t>
        </x:r>
      </x:text>
    </x:comment>
    <x:comment ref="AD8:AD8" authorId="0">
      <x:text>
        <x:r>
          <x:rPr>
            <x:rFont val="굴림"/>
            <x:sz val="11"/>
            <x:color rgb="ff000000"/>
            <x:b val="1"/>
          </x:rPr>
          <x:t>10/26</x:t>
        </x:r>
      </x:text>
    </x:comment>
    <x:comment ref="AD44:AD44" authorId="0">
      <x:text>
        <x:r>
          <x:rPr>
            <x:rFont val="굴림"/>
            <x:sz val="9"/>
            <x:color rgb="ff000000"/>
            <x:b val="1"/>
          </x:rPr>
          <x:t>10/19</x:t>
        </x:r>
      </x:text>
    </x:comment>
  </x:commentList>
</x:comments>
</file>

<file path=xl/comments7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33:B33" authorId="0">
      <x:text>
        <x:r>
          <x:rPr>
            <x:rFont val="굴림"/>
            <x:sz val="11"/>
            <x:color rgb="ff000000"/>
          </x:rPr>
          <x:t xml:space="preserve">차량번호 3559
</x:t>
        </x:r>
        <x:r>
          <x:rPr>
            <x:rFont val="굴림"/>
            <x:sz val="10"/>
            <x:color rgb="ff000000"/>
          </x:rPr>
          <x:t xml:space="preserve">
자세나 클라이밍 실력은 알려주는대로 굉장히 잘함.
</x:t>
        </x:r>
      </x:text>
    </x:comment>
    <x:comment ref="B34:B34" authorId="0">
      <x:text>
        <x:r>
          <x:rPr>
            <x:rFont val="굴림"/>
            <x:sz val="10"/>
            <x:color rgb="ff000000"/>
          </x:rPr>
          <x:t>6687</x:t>
        </x:r>
      </x:text>
    </x:comment>
    <x:comment ref="I14:I14" authorId="0">
      <x:text>
        <x:r>
          <x:rPr>
            <x:rFont val="굴림"/>
            <x:sz val="11"/>
            <x:color rgb="ff000000"/>
            <x:b val="1"/>
          </x:rPr>
          <x:t>김시율(초5)
5201-6900</x:t>
        </x:r>
      </x:text>
    </x:comment>
    <x:comment ref="K56:K56" authorId="0">
      <x:text>
        <x:r>
          <x:rPr>
            <x:rFont val="굴림"/>
            <x:sz val="11"/>
            <x:color rgb="ff000000"/>
            <x:b val="1"/>
          </x:rPr>
          <x:t>이주현:
7/19 - 11:00 보강
17:08 부재중</x:t>
        </x:r>
      </x:text>
    </x:comment>
    <x:comment ref="K32:K32" authorId="0">
      <x:text>
        <x:r>
          <x:rPr>
            <x:rFont val="굴림"/>
            <x:sz val="9"/>
            <x:color rgb="ff000000"/>
            <x:b val="1"/>
          </x:rPr>
          <x:t>이유경:
250720 14:10
부재중</x:t>
        </x:r>
      </x:text>
    </x:comment>
    <x:comment ref="K54:K54" authorId="0">
      <x:text>
        <x:r>
          <x:rPr>
            <x:rFont val="굴림"/>
            <x:sz val="9"/>
            <x:color rgb="ff000000"/>
            <x:b val="1"/>
          </x:rPr>
          <x:t>주현:
7/20 - 16:33
아파서 결석</x:t>
        </x:r>
      </x:text>
    </x:comment>
    <x:comment ref="L32:L32" authorId="0">
      <x:text>
        <x:r>
          <x:rPr>
            <x:rFont val="굴림"/>
            <x:sz val="11"/>
            <x:color rgb="ff000000"/>
          </x:rPr>
          <x:t>독서캠프로 결석
7/22 보강</x:t>
        </x:r>
      </x:text>
    </x:comment>
    <x:comment ref="L55:L55" authorId="0">
      <x:text>
        <x:r>
          <x:rPr>
            <x:rFont val="굴림"/>
            <x:sz val="11"/>
            <x:color rgb="ff000000"/>
            <x:b val="1"/>
          </x:rPr>
          <x:t>7/26</x:t>
        </x:r>
      </x:text>
    </x:comment>
    <x:comment ref="L56:L56" authorId="0">
      <x:text>
        <x:r>
          <x:rPr>
            <x:rFont val="굴림"/>
            <x:sz val="9"/>
            <x:color rgb="ff000000"/>
          </x:rPr>
          <x:t>7/27 15:00</x:t>
        </x:r>
      </x:text>
    </x:comment>
    <x:comment ref="L44:L44" authorId="0">
      <x:text>
        <x:r>
          <x:rPr>
            <x:rFont val="굴림"/>
            <x:sz val="9"/>
            <x:color rgb="ff000000"/>
            <x:b val="1"/>
          </x:rPr>
          <x:t>7세 남1</x:t>
        </x:r>
      </x:text>
    </x:comment>
    <x:comment ref="B6:B6" authorId="0">
      <x:text>
        <x:r>
          <x:rPr>
            <x:rFont val="굴림"/>
            <x:sz val="11"/>
            <x:color rgb="ff000000"/>
            <x:b val="1"/>
          </x:rPr>
          <x:t>차량번호: 3337
이주현:
손이 아파서 매달리는 시간이 적은 편
&gt; 발로 무게 지탱하는 법 알려주기
&gt; 낮은 난이도 지구력 여러번 시켜서 몸쓰는 법 익히게 하기</x:t>
        </x:r>
      </x:text>
    </x:comment>
    <x:comment ref="N30:N30" authorId="0">
      <x:text>
        <x:r>
          <x:rPr>
            <x:rFont val="굴림"/>
            <x:sz val="11"/>
            <x:color rgb="ff000000"/>
            <x:b val="1"/>
          </x:rPr>
          <x:t>주현:
학원 시간으로 인해 보강예정</x:t>
        </x:r>
      </x:text>
    </x:comment>
    <x:comment ref="J50:J50" authorId="0">
      <x:text>
        <x:r>
          <x:rPr>
            <x:rFont val="굴림"/>
            <x:sz val="11"/>
            <x:color rgb="ff000000"/>
          </x:rPr>
          <x:t>윤진
스페셜 6세
7/9 보강</x:t>
        </x:r>
      </x:text>
    </x:comment>
    <x:comment ref="B47:B47" authorId="0">
      <x:text>
        <x:r>
          <x:rPr>
            <x:rFont val="굴림"/>
            <x:sz val="10"/>
            <x:color rgb="ff000000"/>
          </x:rPr>
          <x:t>주현: 010-4281-8010</x:t>
        </x:r>
      </x:text>
    </x:comment>
    <x:comment ref="B46:B46" authorId="0">
      <x:text>
        <x:r>
          <x:rPr>
            <x:rFont val="굴림"/>
            <x:sz val="10"/>
            <x:color rgb="ff000000"/>
          </x:rPr>
          <x:t>주한: 010-9672-8010 
어머님: 010-7685-8010</x:t>
        </x:r>
      </x:text>
    </x:comment>
    <x:comment ref="K46:K46" authorId="0">
      <x:text>
        <x:r>
          <x:rPr>
            <x:rFont val="굴림"/>
            <x:sz val="9"/>
            <x:color rgb="ff000000"/>
            <x:b val="1"/>
          </x:rPr>
          <x:t xml:space="preserve">이주현:
컨디션 안 좋아서 결석
(전날 클라이밍)
</x:t>
        </x:r>
      </x:text>
    </x:comment>
    <x:comment ref="L46:L46" authorId="0">
      <x:text>
        <x:r>
          <x:rPr>
            <x:rFont val="굴림"/>
            <x:sz val="9"/>
            <x:color rgb="ff000000"/>
            <x:b val="1"/>
          </x:rPr>
          <x:t>이유경:
7/27 16:15 경
결석 확인 전화 O</x:t>
        </x:r>
      </x:text>
    </x:comment>
    <x:comment ref="Q56:Q56" authorId="0">
      <x:text>
        <x:r>
          <x:rPr>
            <x:rFont val="굴림"/>
            <x:sz val="11"/>
            <x:color rgb="ff000000"/>
            <x:b val="1"/>
          </x:rPr>
          <x:t>8/16</x:t>
        </x:r>
      </x:text>
    </x:comment>
    <x:comment ref="Q14:Q14" authorId="0">
      <x:text>
        <x:r>
          <x:rPr>
            <x:rFont val="굴림"/>
            <x:sz val="9"/>
            <x:color rgb="ff000000"/>
            <x:b val="1"/>
          </x:rPr>
          <x:t>8/16</x:t>
        </x:r>
      </x:text>
    </x:comment>
    <x:comment ref="Q30:Q30" authorId="0">
      <x:text>
        <x:r>
          <x:rPr>
            <x:rFont val="굴림"/>
            <x:sz val="11"/>
            <x:color rgb="ff000000"/>
            <x:b val="1"/>
          </x:rPr>
          <x:t>24~26 제주도 여행</x:t>
        </x:r>
      </x:text>
    </x:comment>
    <x:comment ref="P44:P44" authorId="0">
      <x:text>
        <x:r>
          <x:rPr>
            <x:rFont val="굴림"/>
            <x:sz val="11"/>
            <x:color rgb="ff000000"/>
            <x:b val="1"/>
          </x:rPr>
          <x:t>주현:
전날 저녁부터 토하고 아파서 결석
8/28-&gt;8/30 1번만 보강 변경(유치원 소풍이 늦어짐)</x:t>
        </x:r>
      </x:text>
    </x:comment>
    <x:comment ref="Q57:Q57" authorId="0">
      <x:text>
        <x:r>
          <x:rPr>
            <x:rFont val="굴림"/>
            <x:sz val="11"/>
            <x:color rgb="ff000000"/>
          </x:rPr>
          <x:t xml:space="preserve">8/13 보강
</x:t>
        </x:r>
      </x:text>
    </x:comment>
    <x:comment ref="Q58:Q58" authorId="0">
      <x:text>
        <x:r>
          <x:rPr>
            <x:rFont val="굴림"/>
            <x:sz val="11"/>
            <x:color rgb="ff000000"/>
          </x:rPr>
          <x:t xml:space="preserve">8/13 보강
</x:t>
        </x:r>
      </x:text>
    </x:comment>
    <x:comment ref="Q29:Q29" authorId="0">
      <x:text>
        <x:r>
          <x:rPr>
            <x:rFont val="굴림"/>
            <x:sz val="11"/>
            <x:color rgb="ff000000"/>
          </x:rPr>
          <x:t>8/13 보강</x:t>
        </x:r>
      </x:text>
    </x:comment>
    <x:comment ref="Q36:Q36" authorId="0">
      <x:text>
        <x:r>
          <x:rPr>
            <x:rFont val="굴림"/>
            <x:sz val="11"/>
            <x:color rgb="ff000000"/>
            <x:b val="1"/>
          </x:rPr>
          <x:t>8/18</x:t>
        </x:r>
      </x:text>
    </x:comment>
    <x:comment ref="O36:O36" authorId="0">
      <x:text>
        <x:r>
          <x:rPr>
            <x:rFont val="굴림"/>
            <x:sz val="9"/>
            <x:color rgb="ff000000"/>
            <x:b val="1"/>
          </x:rPr>
          <x:t>8/3</x:t>
        </x:r>
      </x:text>
    </x:comment>
    <x:comment ref="Q48:Q48" authorId="0">
      <x:text>
        <x:r>
          <x:rPr>
            <x:rFont val="굴림"/>
            <x:sz val="9"/>
            <x:color rgb="ff000000"/>
            <x:b val="1"/>
          </x:rPr>
          <x:t>8/24 14:09
가형 전화 / 감기</x:t>
        </x:r>
      </x:text>
    </x:comment>
    <x:comment ref="R36:R36" authorId="0">
      <x:text>
        <x:r>
          <x:rPr>
            <x:rFont val="굴림"/>
            <x:sz val="11"/>
            <x:color rgb="ff000000"/>
            <x:b val="1"/>
          </x:rPr>
          <x:t>8/24</x:t>
        </x:r>
      </x:text>
    </x:comment>
    <x:comment ref="R31:R31" authorId="0">
      <x:text>
        <x:r>
          <x:rPr>
            <x:rFont val="굴림"/>
            <x:sz val="11"/>
            <x:color rgb="ff000000"/>
            <x:b val="1"/>
          </x:rPr>
          <x:t>8/27</x:t>
        </x:r>
      </x:text>
    </x:comment>
    <x:comment ref="L49:L49" authorId="0">
      <x:text>
        <x:r>
          <x:rPr>
            <x:rFont val="굴림"/>
            <x:sz val="11"/>
            <x:color rgb="ff000000"/>
            <x:b val="1"/>
          </x:rPr>
          <x:t>7/26</x:t>
        </x:r>
      </x:text>
    </x:comment>
    <x:comment ref="N49:N49" authorId="0">
      <x:text>
        <x:r>
          <x:rPr>
            <x:rFont val="굴림"/>
            <x:sz val="9"/>
            <x:color rgb="ff000000"/>
            <x:b val="1"/>
          </x:rPr>
          <x:t xml:space="preserve">김정민:
</x:t>
        </x:r>
        <x:r>
          <x:rPr>
            <x:rFont val="굴림"/>
            <x:sz val="9"/>
            <x:color rgb="ff000000"/>
          </x:rPr>
          <x:t>다른 날로 보강 필요
(어머니께 세팅 또는 자유이용 할 수 있다고 말씀드렸음)</x:t>
        </x:r>
      </x:text>
    </x:comment>
    <x:comment ref="N25:N25" authorId="0">
      <x:text>
        <x:r>
          <x:rPr>
            <x:rFont val="굴림"/>
            <x:sz val="9"/>
            <x:color rgb="ff000000"/>
            <x:b val="1"/>
          </x:rPr>
          <x:t>이유경: 
13:04 부재중</x:t>
        </x:r>
      </x:text>
    </x:comment>
    <x:comment ref="S22:S22" authorId="0">
      <x:text>
        <x:r>
          <x:rPr>
            <x:rFont val="굴림"/>
            <x:sz val="9"/>
            <x:color rgb="ff000000"/>
            <x:b val="1"/>
          </x:rPr>
          <x:t>이유경:
9/6 16:17 통화
세아 발목 진물로 결석
-&gt; 카카오채널로 보강 연락 예정</x:t>
        </x:r>
      </x:text>
    </x:comment>
    <x:comment ref="S36:S36" authorId="0">
      <x:text>
        <x:r>
          <x:rPr>
            <x:rFont val="굴림"/>
            <x:sz val="11"/>
            <x:color rgb="ff000000"/>
            <x:b val="1"/>
          </x:rPr>
          <x:t>한세연 (9세)
한세린 (7세)
8926-2594
최환이 (6세)
9155-8438</x:t>
        </x:r>
      </x:text>
    </x:comment>
    <x:comment ref="S47:S47" authorId="0">
      <x:text>
        <x:r>
          <x:rPr>
            <x:rFont val="굴림"/>
            <x:sz val="9"/>
            <x:color rgb="ff000000"/>
            <x:b val="1"/>
          </x:rPr>
          <x:t>16:10 다리부상</x:t>
        </x:r>
      </x:text>
    </x:comment>
    <x:comment ref="S46:S46" authorId="0">
      <x:text>
        <x:r>
          <x:rPr>
            <x:rFont val="굴림"/>
            <x:sz val="9"/>
            <x:color rgb="ff000000"/>
            <x:b val="1"/>
          </x:rPr>
          <x:t>시험기간으로 시간 변경 요망</x:t>
        </x:r>
      </x:text>
    </x:comment>
    <x:comment ref="U22:U22" authorId="0">
      <x:text>
        <x:r>
          <x:rPr>
            <x:rFont val="굴림"/>
            <x:sz val="11"/>
            <x:color rgb="ff000000"/>
            <x:b val="1"/>
          </x:rPr>
          <x:t>몸살로 인한 휴식</x:t>
        </x:r>
      </x:text>
    </x:comment>
    <x:comment ref="V24:V24" authorId="0">
      <x:text>
        <x:r>
          <x:rPr>
            <x:rFont val="굴림"/>
            <x:sz val="9"/>
            <x:color rgb="ff000000"/>
            <x:b val="1"/>
          </x:rPr>
          <x:t>보강 -&gt; 10/11 15:00
보강 결석</x:t>
        </x:r>
      </x:text>
    </x:comment>
    <x:comment ref="V50:V50" authorId="0">
      <x:text>
        <x:r>
          <x:rPr>
            <x:rFont val="굴림"/>
            <x:sz val="11"/>
            <x:color rgb="ff000000"/>
            <x:b val="1"/>
          </x:rPr>
          <x:t>9/27</x:t>
        </x:r>
      </x:text>
    </x:comment>
    <x:comment ref="U36:U36" authorId="0">
      <x:text>
        <x:r>
          <x:rPr>
            <x:rFont val="굴림"/>
            <x:sz val="9"/>
            <x:color rgb="ff000000"/>
            <x:b val="1"/>
          </x:rPr>
          <x:t>이하리 (초3) 8853-0914
이유준(초5)
이유승(7세)
01036192221</x:t>
        </x:r>
      </x:text>
    </x:comment>
    <x:comment ref="V36:V36" authorId="0">
      <x:text>
        <x:r>
          <x:rPr>
            <x:rFont val="굴림"/>
            <x:sz val="9"/>
            <x:color rgb="ff000000"/>
            <x:b val="1"/>
          </x:rPr>
          <x:t>박도준 (6세) 8864-0065</x:t>
        </x:r>
      </x:text>
    </x:comment>
    <x:comment ref="AA51:AA51" authorId="0">
      <x:text>
        <x:r>
          <x:rPr>
            <x:rFont val="굴림"/>
            <x:sz val="11"/>
            <x:color rgb="ff000000"/>
            <x:b val="1"/>
          </x:rPr>
          <x:t>이현하(7세) 5829-0153</x:t>
        </x:r>
      </x:text>
    </x:comment>
    <x:comment ref="AA24:AA24" authorId="0">
      <x:text>
        <x:r>
          <x:rPr>
            <x:rFont val="굴림"/>
            <x:sz val="11"/>
            <x:color rgb="ff000000"/>
            <x:b val="1"/>
          </x:rPr>
          <x:t>개인일정으로 결석</x:t>
        </x:r>
      </x:text>
    </x:comment>
    <x:comment ref="AA6:AA6" authorId="0">
      <x:text>
        <x:r>
          <x:rPr>
            <x:rFont val="굴림"/>
            <x:sz val="11"/>
            <x:color rgb="ff000000"/>
            <x:b val="1"/>
          </x:rPr>
          <x:t>주현: 민재 열 있어서 병원 다녀옴. 11월 첫째 주 내로 보강 가능.</x:t>
        </x:r>
      </x:text>
    </x:comment>
    <x:comment ref="B12:B12" authorId="0">
      <x:text>
        <x:r>
          <x:rPr>
            <x:rFont val="굴림"/>
            <x:sz val="11"/>
            <x:color rgb="ff000000"/>
            <x:b val="1"/>
          </x:rPr>
          <x:t>차량번호 5432</x:t>
        </x:r>
      </x:text>
    </x:comment>
    <x:comment ref="B13:B13" authorId="0">
      <x:text>
        <x:r>
          <x:rPr>
            <x:rFont val="굴림"/>
            <x:sz val="11"/>
            <x:color rgb="ff000000"/>
            <x:b val="1"/>
          </x:rPr>
          <x:t>차량번호: 6322
9847</x:t>
        </x:r>
      </x:text>
    </x:comment>
    <x:comment ref="AM12:AM12" authorId="0">
      <x:text>
        <x:r>
          <x:rPr>
            <x:rFont val="굴림"/>
            <x:sz val="11"/>
            <x:color rgb="ff000000"/>
            <x:b val="1"/>
          </x:rPr>
          <x:t>2인 스페셜 짝수업
비용: 각 140,000원 (20,000원 할인)
안내사항
1. 정규 보강은 둘이 함께 1회 가능
2. 아이가 아픈 경우 진단서나 병원 영수증 등 지참 시 월 1회 개인 보강 가능</x:t>
        </x:r>
      </x:text>
    </x:comment>
    <x:comment ref="AC26:AC26" authorId="0">
      <x:text>
        <x:r>
          <x:rPr>
            <x:rFont val="굴림"/>
            <x:sz val="11"/>
            <x:color rgb="ff000000"/>
            <x:b val="1"/>
          </x:rPr>
          <x:t>10/24</x:t>
        </x:r>
      </x:text>
    </x:comment>
    <x:comment ref="AC50:AC50" authorId="0">
      <x:text>
        <x:r>
          <x:rPr>
            <x:rFont val="굴림"/>
            <x:sz val="11"/>
            <x:color rgb="ff000000"/>
            <x:b val="1"/>
          </x:rPr>
          <x:t>10/30 보강</x:t>
        </x:r>
      </x:text>
    </x:comment>
    <x:comment ref="B7:B7" authorId="0">
      <x:text>
        <x:r>
          <x:rPr>
            <x:rFont val="굴림"/>
            <x:sz val="10"/>
            <x:color rgb="ff000000"/>
          </x:rPr>
          <x:t>차량번호: 4551
이주현:
벽 타는 것에 겁이 없고 잘 오릅니다. 본능적으로 발바꾸기 등을 사용하니, 기본기를 잘 지킬 때까지는 무리하지 않게 봐주시면 됩니다.(토11에서 변경)</x:t>
        </x:r>
      </x:text>
    </x:comment>
    <x:comment ref="J7:J7" authorId="0">
      <x:text>
        <x:r>
          <x:rPr>
            <x:rFont val="굴림"/>
            <x:sz val="9"/>
            <x:color rgb="ff000000"/>
            <x:b val="1"/>
          </x:rPr>
          <x:t>이주현:
7월 2주차까지 토요일 반이었으나 다리 부상으로 수업X
3주차부터 일요일 11시 반으로 옮겨 진행.</x:t>
        </x:r>
      </x:text>
    </x:comment>
    <x:comment ref="B9:B9" authorId="0">
      <x:text>
        <x:r>
          <x:rPr>
            <x:rFont val="굴림"/>
            <x:sz val="10"/>
            <x:color rgb="ff000000"/>
          </x:rPr>
          <x:t>5149
여도현: 침착하게 잘 탐. 겁 많아서 케어 필요</x:t>
        </x:r>
      </x:text>
    </x:comment>
    <x:comment ref="AD10:AD10" authorId="0">
      <x:text>
        <x:r>
          <x:rPr>
            <x:rFont val="굴림"/>
            <x:sz val="11"/>
            <x:color rgb="ff000000"/>
            <x:b val="1"/>
          </x:rPr>
          <x:t>10/4</x:t>
        </x:r>
      </x:text>
    </x:comment>
  </x:commentList>
</x:comments>
</file>

<file path=xl/comments8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:B2" authorId="0">
      <x:text>
        <x:r>
          <x:rPr>
            <x:rFont val="굴림"/>
            <x:sz val="10"/>
            <x:color rgb="ff000000"/>
          </x:rPr>
          <x:t>5647
여도현: 조용하고 낯 많이 가려서 많이 신경 써줘야함. 지구력은 잘 타지만 볼더링은 좀 약함.</x:t>
        </x:r>
      </x:text>
    </x:comment>
    <x:comment ref="B3:B3" authorId="0">
      <x:text>
        <x:r>
          <x:rPr>
            <x:rFont val="굴림"/>
            <x:sz val="11"/>
            <x:color rgb="ff000000"/>
          </x:rPr>
          <x:t>차량번호 8330
아버님 3641
어머님 7204</x:t>
        </x:r>
      </x:text>
    </x:comment>
    <x:comment ref="B7:B7" authorId="0">
      <x:text>
        <x:r>
          <x:rPr>
            <x:rFont val="굴림"/>
            <x:sz val="11"/>
            <x:color rgb="ff000000"/>
            <x:b val="1"/>
          </x:rPr>
          <x:t>주현:
스포츠바우처 1달씩
이월 결제 (매달)
ex) 7월 결제 &gt; 8월분</x:t>
        </x:r>
      </x:text>
    </x:comment>
    <x:comment ref="B10:B10" authorId="0">
      <x:text>
        <x:r>
          <x:rPr>
            <x:rFont val="굴림"/>
            <x:sz val="11"/>
            <x:color rgb="ff000000"/>
          </x:rPr>
          <x:t>차량번호 8330
어머님 7717</x:t>
        </x:r>
      </x:text>
    </x:comment>
    <x:comment ref="B11:B11" authorId="0">
      <x:text>
        <x:r>
          <x:rPr>
            <x:rFont val="굴림"/>
            <x:sz val="11"/>
            <x:color rgb="ff000000"/>
            <x:b val="1"/>
          </x:rPr>
          <x:t xml:space="preserve">차량번호 5636
</x:t>
        </x:r>
        <x:r>
          <x:rPr>
            <x:rFont val="굴림"/>
            <x:sz val="10"/>
            <x:color rgb="ff000000"/>
          </x:rPr>
          <x:t xml:space="preserve">
신성훈
기본기와 기량 및 잠재력이 매우 뛰어나나 비교적 미흡함.
&lt;특징&gt;
특이사항 없음.</x:t>
        </x:r>
      </x:text>
    </x:comment>
    <x:comment ref="B14:B14" authorId="0">
      <x:text>
        <x:r>
          <x:rPr>
            <x:rFont val="굴림"/>
            <x:sz val="11"/>
            <x:color rgb="ff000000"/>
            <x:b val="1"/>
          </x:rPr>
          <x:t>차량번호: 3337
이주현:
손이 아파서 매달리는 시간이 적은 편
&gt; 발로 무게 지탱하는 법 알려주기
&gt; 낮은 난이도 지구력 여러번 시켜서 몸쓰는 법 익히게 하기</x:t>
        </x:r>
      </x:text>
    </x:comment>
    <x:comment ref="B16:B16" authorId="0">
      <x:text>
        <x:r>
          <x:rPr>
            <x:rFont val="굴림"/>
            <x:sz val="11"/>
            <x:color rgb="ff000000"/>
          </x:rPr>
          <x:t>차량번호 4871</x:t>
        </x:r>
      </x:text>
    </x:comment>
    <x:comment ref="B18:B18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7862</x:t>
        </x:r>
      </x:text>
    </x:comment>
    <x:comment ref="B19:B19" authorId="0">
      <x:text>
        <x:r>
          <x:rPr>
            <x:rFont val="굴림"/>
            <x:sz val="11"/>
            <x:color rgb="ff000000"/>
          </x:rPr>
          <x:t xml:space="preserve">차량번호 6732
차량번호 7637 (어머니)
</x:t>
        </x:r>
        <x:r>
          <x:rPr>
            <x:rFont val="굴림"/>
            <x:sz val="10"/>
            <x:color rgb="ff000000"/>
          </x:rPr>
          <x:t>창의력과 실력이 매우 뛰어남
하고자 하는 의지도 강하고
가르치기 굉장히 좋은 아이 중에 하나
&lt;특징&gt;
장난꾸러기의 기질이 있어 사고도 치고,
장난도 많이치지만
혼낼건 혼내고 귀여우니 귀엽게 보면 됨</x:t>
        </x:r>
      </x:text>
    </x:comment>
    <x:comment ref="B25:B25" authorId="0">
      <x:text>
        <x:r>
          <x:rPr>
            <x:rFont val="굴림"/>
            <x:sz val="12"/>
            <x:color rgb="ff000000"/>
          </x:rPr>
          <x:t>차량번호
0433</x:t>
        </x:r>
      </x:text>
    </x:comment>
    <x:comment ref="B28:B28" authorId="0">
      <x:text>
        <x:r>
          <x:rPr>
            <x:rFont val="굴림"/>
            <x:sz val="10"/>
            <x:color rgb="ff000000"/>
          </x:rPr>
          <x:t>5149
여도현: 침착하게 잘 탐. 겁 많아서 케어 필요</x:t>
        </x:r>
      </x:text>
    </x:comment>
    <x:comment ref="B29:B29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47거4873</x:t>
        </x:r>
      </x:text>
    </x:comment>
    <x:comment ref="B30:B30" authorId="0">
      <x:text>
        <x:r>
          <x:rPr>
            <x:rFont val="굴림"/>
            <x:sz val="11"/>
            <x:color rgb="ff000000"/>
          </x:rPr>
          <x:t xml:space="preserve">차량번호 5088
</x:t>
        </x:r>
        <x:r>
          <x:rPr>
            <x:rFont val="굴림"/>
            <x:sz val="10"/>
            <x:color rgb="ff000000"/>
          </x:rPr>
          <x:t xml:space="preserve">
자세가 좋고, 알려주는만큼 엄청나게 잘함
허나 소심하고 말수가 적어서 친화력에 걱정은 되지만,
가끔 장난치면 잘 웃고 잘 받아줌
&lt;특징&gt;
아토피가 심해 운동을 해본 적이 없어 체력이 약함
피부가 약해 상처 등에 주의 요망</x:t>
        </x:r>
      </x:text>
    </x:comment>
    <x:comment ref="B32:B32" authorId="0">
      <x:text>
        <x:r>
          <x:rPr>
            <x:rFont val="굴림"/>
            <x:sz val="10"/>
            <x:color rgb="ff000000"/>
          </x:rPr>
          <x:t>주한: 010-9672-8010 
어머님: 010-7685-8010</x:t>
        </x:r>
      </x:text>
    </x:comment>
    <x:comment ref="B33:B33" authorId="0">
      <x:text>
        <x:r>
          <x:rPr>
            <x:rFont val="굴림"/>
            <x:sz val="10"/>
            <x:color rgb="ff000000"/>
          </x:rPr>
          <x:t>주현: 010-4281-8010</x:t>
        </x:r>
      </x:text>
    </x:comment>
    <x:comment ref="B48:B48" authorId="0">
      <x:text>
        <x:r>
          <x:rPr>
            <x:rFont val="굴림"/>
            <x:sz val="10"/>
            <x:color rgb="ff000000"/>
          </x:rPr>
          <x:t>차량번호 6297
방혜은: 억지로 타는 경향 있음
다칠 가능성 높은 아이이기때문에 억지로타면 내려오라고 말해주세요</x:t>
        </x:r>
      </x:text>
    </x:comment>
    <x:comment ref="B50:B50" authorId="0">
      <x:text>
        <x:r>
          <x:rPr>
            <x:rFont val="굴림"/>
            <x:sz val="11"/>
            <x:color rgb="ff000000"/>
          </x:rPr>
          <x:t>할머님 차량번호
9417
어머님 차량번호
1539
아버님 차량번호
9349</x:t>
        </x:r>
      </x:text>
    </x:comment>
    <x:comment ref="B51:B51" authorId="0">
      <x:text>
        <x:r>
          <x:rPr>
            <x:rFont val="굴림"/>
            <x:sz val="11"/>
            <x:color rgb="ff000000"/>
          </x:rPr>
          <x:t xml:space="preserve">할머님: 51노7816
학부모님: 6370(어머님) 3521(아버님)
</x:t>
        </x:r>
      </x:text>
    </x:comment>
    <x:comment ref="B53:B53" authorId="0">
      <x:text>
        <x:r>
          <x:rPr>
            <x:rFont val="굴림"/>
            <x:sz val="10"/>
            <x:color rgb="ff000000"/>
          </x:rPr>
          <x:t>방혜은:
루트 잘 타고 체력좋음
볼더링 약함</x:t>
        </x:r>
      </x:text>
    </x:comment>
    <x:comment ref="B56:B56" authorId="0">
      <x:text>
        <x:r>
          <x:rPr>
            <x:rFont val="굴림"/>
            <x:sz val="10"/>
            <x:color rgb="ff000000"/>
          </x:rPr>
          <x:t xml:space="preserve">차량번호 6297
</x:t>
        </x:r>
      </x:text>
    </x:comment>
    <x:comment ref="B58:B58" authorId="0">
      <x:text>
        <x:r>
          <x:rPr>
            <x:rFont val="굴림"/>
            <x:sz val="11"/>
            <x:color rgb="ff000000"/>
          </x:rPr>
          <x:t>차량번호 : 5405
               4477</x:t>
        </x:r>
      </x:text>
    </x:comment>
    <x:comment ref="B61:B61" authorId="0">
      <x:text>
        <x:r>
          <x:rPr>
            <x:rFont val="굴림"/>
            <x:sz val="11"/>
            <x:color rgb="ff000000"/>
            <x:b val="1"/>
          </x:rPr>
          <x:t>차량번호 5432</x:t>
        </x:r>
      </x:text>
    </x:comment>
    <x:comment ref="B64:B64" authorId="0">
      <x:text>
        <x:r>
          <x:rPr>
            <x:rFont val="굴림"/>
            <x:sz val="11"/>
            <x:color rgb="ff000000"/>
          </x:rPr>
          <x:t xml:space="preserve">차량번호 3559
</x:t>
        </x:r>
        <x:r>
          <x:rPr>
            <x:rFont val="굴림"/>
            <x:sz val="10"/>
            <x:color rgb="ff000000"/>
          </x:rPr>
          <x:t xml:space="preserve">
자세나 클라이밍 실력은 알려주는대로 굉장히 잘함.
</x:t>
        </x:r>
      </x:text>
    </x:comment>
    <x:comment ref="B65:B65" authorId="0">
      <x:text>
        <x:r>
          <x:rPr>
            <x:rFont val="굴림"/>
            <x:sz val="10"/>
            <x:color rgb="ff000000"/>
          </x:rPr>
          <x:t>방혜은:
무리해서 타는 경우가 많음
억지로 타면 직접 내려오라고 말해줘야함</x:t>
        </x:r>
      </x:text>
    </x:comment>
    <x:comment ref="B68:B68" authorId="0">
      <x:text>
        <x:r>
          <x:rPr>
            <x:rFont val="굴림"/>
            <x:sz val="9"/>
            <x:color rgb="ff000000"/>
            <x:b val="1"/>
          </x:rPr>
          <x:t>할머니 차량
8008</x:t>
        </x:r>
      </x:text>
    </x:comment>
    <x:comment ref="B72:B72" authorId="0">
      <x:text>
        <x:r>
          <x:rPr>
            <x:rFont val="굴림"/>
            <x:sz val="12"/>
            <x:color rgb="ff000000"/>
          </x:rPr>
          <x:t>차량번호:
43두1263</x:t>
        </x:r>
      </x:text>
    </x:comment>
    <x:comment ref="B75:B75" authorId="0">
      <x:text>
        <x:r>
          <x:rPr>
            <x:rFont val="굴림"/>
            <x:sz val="12"/>
            <x:color rgb="ff000000"/>
          </x:rPr>
          <x:t>차량번호
4514</x:t>
        </x:r>
      </x:text>
    </x:comment>
    <x:comment ref="B76:B76" authorId="0">
      <x:text>
        <x:r>
          <x:rPr>
            <x:rFont val="굴림"/>
            <x:sz val="9"/>
            <x:color rgb="ff000000"/>
            <x:b val="1"/>
          </x:rPr>
          <x:t>차량번호 0736</x:t>
        </x:r>
      </x:text>
    </x:comment>
    <x:comment ref="B78:B78" authorId="0">
      <x:text>
        <x:r>
          <x:rPr>
            <x:rFont val="굴림"/>
            <x:sz val="9"/>
            <x:color rgb="ff000000"/>
            <x:b val="1"/>
          </x:rPr>
          <x:t>차량번호: 0851</x:t>
        </x:r>
      </x:text>
    </x:comment>
    <x:comment ref="B79:B79" authorId="0">
      <x:text>
        <x:r>
          <x:rPr>
            <x:rFont val="굴림"/>
            <x:sz val="12"/>
            <x:color rgb="ff000000"/>
          </x:rPr>
          <x:t>62부3085</x:t>
        </x:r>
      </x:text>
    </x:comment>
    <x:comment ref="B83:B83" authorId="0">
      <x:text>
        <x:r>
          <x:rPr>
            <x:rFont val="굴림"/>
            <x:sz val="11"/>
            <x:color rgb="ff000000"/>
            <x:b val="1"/>
          </x:rPr>
          <x:t>차량번호: 3945</x:t>
        </x:r>
      </x:text>
    </x:comment>
    <x:comment ref="B86:B86" authorId="0">
      <x:text>
        <x:r>
          <x:rPr>
            <x:rFont val="굴림"/>
            <x:sz val="12"/>
            <x:color rgb="ff000000"/>
          </x:rPr>
          <x:t>차량번호
62나 8044</x:t>
        </x:r>
      </x:text>
    </x:comment>
    <x:comment ref="B88:B88" authorId="0">
      <x:text>
        <x:r>
          <x:rPr>
            <x:rFont val="굴림"/>
            <x:sz val="12"/>
            <x:color rgb="ff000000"/>
          </x:rPr>
          <x:t xml:space="preserve">차량번호
4422 or 7446
</x:t>
        </x:r>
      </x:text>
    </x:comment>
    <x:comment ref="B89:B89" authorId="0">
      <x:text>
        <x:r>
          <x:rPr>
            <x:rFont val="굴림"/>
            <x:sz val="12"/>
            <x:color rgb="ff000000"/>
          </x:rPr>
          <x:t>차량번호 6563</x:t>
        </x:r>
      </x:text>
    </x:comment>
    <x:comment ref="B90:B90" authorId="0">
      <x:text>
        <x:r>
          <x:rPr>
            <x:rFont val="굴림"/>
            <x:sz val="11"/>
            <x:color rgb="ff000000"/>
          </x:rPr>
          <x:t>차량번호 6209</x:t>
        </x:r>
      </x:text>
    </x:comment>
    <x:comment ref="B91:B91" authorId="0">
      <x:text>
        <x:r>
          <x:rPr>
            <x:rFont val="굴림"/>
            <x:sz val="9"/>
            <x:color rgb="ff000000"/>
            <x:b val="1"/>
          </x:rPr>
          <x:t>어머니 차량
0798</x:t>
        </x:r>
      </x:text>
    </x:comment>
    <x:comment ref="B94:B94" authorId="0">
      <x:text>
        <x:r>
          <x:rPr>
            <x:rFont val="굴림"/>
            <x:sz val="12"/>
            <x:color rgb="ff000000"/>
          </x:rPr>
          <x:t>차량번호
9148</x:t>
        </x:r>
      </x:text>
    </x:comment>
    <x:comment ref="B95:B95" authorId="0">
      <x:text>
        <x:r>
          <x:rPr>
            <x:rFont val="굴림"/>
            <x:sz val="10"/>
            <x:color rgb="ff000000"/>
          </x:rPr>
          <x:t>손에 땀 많음</x:t>
        </x:r>
      </x:text>
    </x:comment>
    <x:comment ref="B96:B96" authorId="0">
      <x:text>
        <x:r>
          <x:rPr>
            <x:rFont val="굴림"/>
            <x:sz val="11"/>
            <x:color rgb="ff000000"/>
          </x:rPr>
          <x:t xml:space="preserve">차량번호 4877
</x:t>
        </x:r>
      </x:text>
    </x:comment>
    <x:comment ref="B100:B100" authorId="0">
      <x:text>
        <x:r>
          <x:rPr>
            <x:rFont val="굴림"/>
            <x:sz val="12"/>
            <x:color rgb="ff000000"/>
          </x:rPr>
          <x:t>차량번호 6687</x:t>
        </x:r>
      </x:text>
    </x:comment>
    <x:comment ref="B101:B101" authorId="0">
      <x:text>
        <x:r>
          <x:rPr>
            <x:rFont val="굴림"/>
            <x:sz val="10"/>
            <x:color rgb="ff000000"/>
          </x:rPr>
          <x:t>6687</x:t>
        </x:r>
      </x:text>
    </x:comment>
    <x:comment ref="B103:B103" authorId="0">
      <x:text>
        <x:r>
          <x:rPr>
            <x:rFont val="굴림"/>
            <x:sz val="10"/>
            <x:color rgb="ff000000"/>
          </x:rPr>
          <x:t>5792
8336
-
여도현: 다 잘 함. 엄청 활동적이고 
건후랑 티격태격 잘 하는 편.</x:t>
        </x:r>
      </x:text>
    </x:comment>
    <x:comment ref="B105:B105" authorId="0">
      <x:text>
        <x:r>
          <x:rPr>
            <x:rFont val="굴림"/>
            <x:sz val="12"/>
            <x:color rgb="ff000000"/>
          </x:rPr>
          <x:t>차량번호
3838</x:t>
        </x:r>
      </x:text>
    </x:comment>
    <x:comment ref="B106:B106" authorId="0">
      <x:text>
        <x:r>
          <x:rPr>
            <x:rFont val="굴림"/>
            <x:sz val="11"/>
            <x:color rgb="ff000000"/>
            <x:b val="1"/>
          </x:rPr>
          <x:t>차량번호: 6322
9847</x:t>
        </x:r>
      </x:text>
    </x:comment>
    <x:comment ref="B107:B107" authorId="0">
      <x:text>
        <x:r>
          <x:rPr>
            <x:rFont val="굴림"/>
            <x:sz val="10"/>
            <x:color rgb="ff000000"/>
          </x:rPr>
          <x:t>차량번호: 4551
이주현:
벽 타는 것에 겁이 없고 잘 오릅니다. 본능적으로 발바꾸기 등을 사용하니, 기본기를 잘 지킬 때까지는 무리하지 않게 봐주시면 됩니다.(토11에서 변경)</x:t>
        </x:r>
      </x:text>
    </x:comment>
  </x:commentList>
</x:comments>
</file>

<file path=xl/comments9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2:B2" authorId="0">
      <x:text>
        <x:r>
          <x:rPr>
            <x:rFont val="굴림"/>
            <x:sz val="10"/>
            <x:color rgb="ff000000"/>
          </x:rPr>
          <x:t>5647
여도현: 조용하고 낯 많이 가려서 많이 신경 써줘야함. 지구력은 잘 타지만 볼더링은 좀 약함.</x:t>
        </x:r>
      </x:text>
    </x:comment>
    <x:comment ref="B5:B5" authorId="0">
      <x:text>
        <x:r>
          <x:rPr>
            <x:rFont val="굴림"/>
            <x:sz val="10"/>
            <x:color rgb="ff000000"/>
          </x:rPr>
          <x:t>방혜은:
다녔던 아이지만, 기본기 다시 잡을필요 있음
차분하게 집중시켜주는것 필요</x:t>
        </x:r>
      </x:text>
    </x:comment>
    <x:comment ref="B6:B6" authorId="0">
      <x:text>
        <x:r>
          <x:rPr>
            <x:rFont val="굴림"/>
            <x:sz val="11"/>
            <x:color rgb="ff000000"/>
            <x:b val="1"/>
          </x:rPr>
          <x:t xml:space="preserve">차량번호: 0395
겁많음
</x:t>
        </x:r>
      </x:text>
    </x:comment>
    <x:comment ref="B7:B7" authorId="0">
      <x:text>
        <x:r>
          <x:rPr>
            <x:rFont val="굴림"/>
            <x:sz val="12"/>
            <x:color rgb="ff000000"/>
          </x:rPr>
          <x:t>차량번호 9144</x:t>
        </x:r>
      </x:text>
    </x:comment>
    <x:comment ref="B9:B9" authorId="0">
      <x:text>
        <x:r>
          <x:rPr>
            <x:rFont val="굴림"/>
            <x:sz val="11"/>
            <x:color rgb="ff000000"/>
            <x:b val="1"/>
          </x:rPr>
          <x:t>주현:
스포츠바우처 1달씩
이월 결제 (매달)
ex) 7월 결제 &gt; 8월분</x:t>
        </x:r>
      </x:text>
    </x:comment>
    <x:comment ref="B12:B12" authorId="0">
      <x:text>
        <x:r>
          <x:rPr>
            <x:rFont val="굴림"/>
            <x:sz val="11"/>
            <x:color rgb="ff000000"/>
            <x:b val="1"/>
          </x:rPr>
          <x:t xml:space="preserve">차량번호 5636
</x:t>
        </x:r>
        <x:r>
          <x:rPr>
            <x:rFont val="굴림"/>
            <x:sz val="10"/>
            <x:color rgb="ff000000"/>
          </x:rPr>
          <x:t xml:space="preserve">
신성훈
기본기와 기량 및 잠재력이 매우 뛰어나나 비교적 미흡함.
&lt;특징&gt;
특이사항 없음.</x:t>
        </x:r>
      </x:text>
    </x:comment>
    <x:comment ref="B16:B16" authorId="0">
      <x:text>
        <x:r>
          <x:rPr>
            <x:rFont val="굴림"/>
            <x:sz val="11"/>
            <x:color rgb="ff000000"/>
            <x:b val="1"/>
          </x:rPr>
          <x:t>차량번호: 3337
이주현:
손이 아파서 매달리는 시간이 적은 편
&gt; 발로 무게 지탱하는 법 알려주기
&gt; 낮은 난이도 지구력 여러번 시켜서 몸쓰는 법 익히게 하기</x:t>
        </x:r>
      </x:text>
    </x:comment>
    <x:comment ref="B17:B17" authorId="0">
      <x:text>
        <x:r>
          <x:rPr>
            <x:rFont val="굴림"/>
            <x:sz val="10"/>
            <x:color rgb="ff000000"/>
            <x:b val="1"/>
          </x:rPr>
          <x:t xml:space="preserve">한유진: </x:t>
        </x:r>
        <x:r>
          <x:rPr>
            <x:rFont val="굴림"/>
            <x:sz val="10"/>
            <x:color rgb="ff000000"/>
          </x:rPr>
          <x:t xml:space="preserve">민준, 자폐성. 키가 크고, 하려는 의지가 있어서 생각보다 어려워 하지 않음. 
소통이 어려울수 있음. 
-과한 칭찬과 격려가 필요함. 
-수학적 지능이 좋은 편이라 루트 탈때도 번호 찾는걸 좋아함 
- 올라가는건 아직 어려워하는편. 
등이 많이 굽어있고 하체근력이 부족함
</x:t>
        </x:r>
      </x:text>
    </x:comment>
    <x:comment ref="B19:B19" authorId="0">
      <x:text>
        <x:r>
          <x:rPr>
            <x:rFont val="굴림"/>
            <x:sz val="11"/>
            <x:color rgb="ff000000"/>
          </x:rPr>
          <x:t>차량번호 4871</x:t>
        </x:r>
      </x:text>
    </x:comment>
    <x:comment ref="B21:B21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7862</x:t>
        </x:r>
      </x:text>
    </x:comment>
    <x:comment ref="B22:B22" authorId="0">
      <x:text>
        <x:r>
          <x:rPr>
            <x:rFont val="굴림"/>
            <x:sz val="11"/>
            <x:color rgb="ff000000"/>
          </x:rPr>
          <x:t xml:space="preserve">차량번호 6732
</x:t>
        </x:r>
        <x:r>
          <x:rPr>
            <x:rFont val="굴림"/>
            <x:sz val="10"/>
            <x:color rgb="ff000000"/>
          </x:rPr>
          <x:t>창의력과 실력이 매우 뛰어남
하고자 하는 의지도 강하고
가르치기 굉장히 좋은 아이 중에 하나
&lt;특징&gt;
장난꾸러기의 기질이 있어 사고도 치고,
장난도 많이치지만
혼낼건 혼내고 귀여우니 귀엽게 보면 됨</x:t>
        </x:r>
      </x:text>
    </x:comment>
    <x:comment ref="B27:B27" authorId="0">
      <x:text>
        <x:r>
          <x:rPr>
            <x:rFont val="굴림"/>
            <x:sz val="10"/>
            <x:color rgb="ff000000"/>
          </x:rPr>
          <x:t>5149
여도현: 침착하게 잘 탐. 겁 많아서 케어 필요</x:t>
        </x:r>
      </x:text>
    </x:comment>
    <x:comment ref="B28:B28" authorId="0">
      <x:text>
        <x:r>
          <x:rPr>
            <x:rFont val="굴림"/>
            <x:sz val="12"/>
            <x:color rgb="ff000000"/>
          </x:rPr>
          <x:t>차량번호
0433</x:t>
        </x:r>
      </x:text>
    </x:comment>
    <x:comment ref="B32:B32" authorId="0">
      <x:text>
        <x:r>
          <x:rPr>
            <x:rFont val="굴림"/>
            <x:sz val="11"/>
            <x:color rgb="ff000000"/>
            <x:b val="1"/>
          </x:rPr>
          <x:t xml:space="preserve">차량번호:
</x:t>
        </x:r>
        <x:r>
          <x:rPr>
            <x:rFont val="굴림"/>
            <x:sz val="11"/>
            <x:color rgb="ff000000"/>
          </x:rPr>
          <x:t>47거4873</x:t>
        </x:r>
      </x:text>
    </x:comment>
    <x:comment ref="B33:B33" authorId="0">
      <x:text>
        <x:r>
          <x:rPr>
            <x:rFont val="굴림"/>
            <x:sz val="11"/>
            <x:color rgb="ff000000"/>
          </x:rPr>
          <x:t xml:space="preserve">차량번호 5088
</x:t>
        </x:r>
        <x:r>
          <x:rPr>
            <x:rFont val="굴림"/>
            <x:sz val="10"/>
            <x:color rgb="ff000000"/>
          </x:rPr>
          <x:t xml:space="preserve">
자세가 좋고, 알려주는만큼 엄청나게 잘함
허나 소심하고 말수가 적어서 친화력에 걱정은 되지만,
가끔 장난치면 잘 웃고 잘 받아줌
&lt;특징&gt;
아토피가 심해 운동을 해본 적이 없어 체력이 약함
피부가 약해 상처 등에 주의 요망</x:t>
        </x:r>
      </x:text>
    </x:comment>
    <x:comment ref="B35:B35" authorId="0">
      <x:text>
        <x:r>
          <x:rPr>
            <x:rFont val="굴림"/>
            <x:sz val="10"/>
            <x:color rgb="ff000000"/>
          </x:rPr>
          <x:t>주한: 010-9672-8010 
어머님: 010-7685-8010</x:t>
        </x:r>
      </x:text>
    </x:comment>
    <x:comment ref="B36:B36" authorId="0">
      <x:text>
        <x:r>
          <x:rPr>
            <x:rFont val="굴림"/>
            <x:sz val="10"/>
            <x:color rgb="ff000000"/>
          </x:rPr>
          <x:t>주현: 010-4281-8010</x:t>
        </x:r>
      </x:text>
    </x:comment>
    <x:comment ref="B50:B50" authorId="0">
      <x:text>
        <x:r>
          <x:rPr>
            <x:rFont val="굴림"/>
            <x:sz val="10"/>
            <x:color rgb="ff000000"/>
          </x:rPr>
          <x:t>차량번호 6297
방혜은: 억지로 타는 경향 있음
다칠 가능성 높은 아이이기때문에 억지로타면 내려오라고 말해주세요</x:t>
        </x:r>
      </x:text>
    </x:comment>
    <x:comment ref="B52:B52" authorId="0">
      <x:text>
        <x:r>
          <x:rPr>
            <x:rFont val="굴림"/>
            <x:sz val="10"/>
            <x:color rgb="ff000000"/>
          </x:rPr>
          <x:t>7216
3694</x:t>
        </x:r>
      </x:text>
    </x:comment>
    <x:comment ref="B53:B53" authorId="0">
      <x:text>
        <x:r>
          <x:rPr>
            <x:rFont val="굴림"/>
            <x:sz val="11"/>
            <x:color rgb="ff000000"/>
          </x:rPr>
          <x:t xml:space="preserve">차량번호 4195
</x:t>
        </x:r>
        <x:r>
          <x:rPr>
            <x:rFont val="굴림"/>
            <x:sz val="10"/>
            <x:color rgb="ff000000"/>
          </x:rPr>
          <x:t>왼발 주의 필요함</x:t>
        </x:r>
      </x:text>
    </x:comment>
    <x:comment ref="B55:B55" authorId="0">
      <x:text>
        <x:r>
          <x:rPr>
            <x:rFont val="굴림"/>
            <x:sz val="10"/>
            <x:color rgb="ff000000"/>
          </x:rPr>
          <x:t>방혜은:
루트 잘 타고 체력좋음
볼더링 약함</x:t>
        </x:r>
      </x:text>
    </x:comment>
    <x:comment ref="B56:B56" authorId="0">
      <x:text>
        <x:r>
          <x:rPr>
            <x:rFont val="굴림"/>
            <x:sz val="10"/>
            <x:color rgb="ff000000"/>
          </x:rPr>
          <x:t>7216
3694</x:t>
        </x:r>
      </x:text>
    </x:comment>
    <x:comment ref="B59:B59" authorId="0">
      <x:text>
        <x:r>
          <x:rPr>
            <x:rFont val="굴림"/>
            <x:sz val="10"/>
            <x:color rgb="ff000000"/>
          </x:rPr>
          <x:t xml:space="preserve">차량번호 6297
</x:t>
        </x:r>
      </x:text>
    </x:comment>
    <x:comment ref="B60:B60" authorId="0">
      <x:text>
        <x:r>
          <x:rPr>
            <x:rFont val="굴림"/>
            <x:sz val="11"/>
            <x:color rgb="ff000000"/>
          </x:rPr>
          <x:t>차량번호 : 5405
               4477</x:t>
        </x:r>
      </x:text>
    </x:comment>
    <x:comment ref="B65:B65" authorId="0">
      <x:text>
        <x:r>
          <x:rPr>
            <x:rFont val="굴림"/>
            <x:sz val="11"/>
            <x:color rgb="ff000000"/>
          </x:rPr>
          <x:t xml:space="preserve">차량번호 3559
</x:t>
        </x:r>
        <x:r>
          <x:rPr>
            <x:rFont val="굴림"/>
            <x:sz val="10"/>
            <x:color rgb="ff000000"/>
          </x:rPr>
          <x:t xml:space="preserve">
자세나 클라이밍 실력은 알려주는대로 굉장히 잘함.
</x:t>
        </x:r>
      </x:text>
    </x:comment>
    <x:comment ref="B66:B66" authorId="0">
      <x:text>
        <x:r>
          <x:rPr>
            <x:rFont val="굴림"/>
            <x:sz val="10"/>
            <x:color rgb="ff000000"/>
          </x:rPr>
          <x:t>방혜은:
무리해서 타는 경우가 많음
억지로 타면 직접 내려오라고 말해줘야함</x:t>
        </x:r>
      </x:text>
    </x:comment>
    <x:comment ref="B67:B67" authorId="0">
      <x:text>
        <x:r>
          <x:rPr>
            <x:rFont val="굴림"/>
            <x:sz val="12"/>
            <x:color rgb="ff000000"/>
          </x:rPr>
          <x:t xml:space="preserve">유철
아버님이랑 같이 방문시 
차량번호 </x:t>
        </x:r>
        <x:r>
          <x:rPr>
            <x:rFont val="굴림"/>
            <x:sz val="12"/>
            <x:color rgb="ff000000"/>
            <x:b val="1"/>
          </x:rPr>
          <x:t>50다1056</x:t>
        </x:r>
      </x:text>
    </x:comment>
    <x:comment ref="B71:B71" authorId="0">
      <x:text>
        <x:r>
          <x:rPr>
            <x:rFont val="굴림"/>
            <x:sz val="11"/>
            <x:color rgb="ff000000"/>
          </x:rPr>
          <x:t xml:space="preserve">차량번호 5190
</x:t>
        </x:r>
      </x:text>
    </x:comment>
    <x:comment ref="B78:B78" authorId="0">
      <x:text>
        <x:r>
          <x:rPr>
            <x:rFont val="굴림"/>
            <x:sz val="12"/>
            <x:color rgb="ff000000"/>
          </x:rPr>
          <x:t>차량번호:
43두1263</x:t>
        </x:r>
      </x:text>
    </x:comment>
    <x:comment ref="B80:B80" authorId="0">
      <x:text>
        <x:r>
          <x:rPr>
            <x:rFont val="굴림"/>
            <x:sz val="11"/>
            <x:color rgb="ff000000"/>
            <x:b val="1"/>
          </x:rPr>
          <x:t>차량번호: 9346</x:t>
        </x:r>
      </x:text>
    </x:comment>
    <x:comment ref="B81:B81" authorId="0">
      <x:text>
        <x:r>
          <x:rPr>
            <x:rFont val="굴림"/>
            <x:sz val="12"/>
            <x:color rgb="ff000000"/>
          </x:rPr>
          <x:t>차량번호
4894</x:t>
        </x:r>
      </x:text>
    </x:comment>
    <x:comment ref="B83:B83" authorId="0">
      <x:text>
        <x:r>
          <x:rPr>
            <x:rFont val="굴림"/>
            <x:sz val="12"/>
            <x:color rgb="ff000000"/>
          </x:rPr>
          <x:t xml:space="preserve">차량번호 
54노0337
</x:t>
        </x:r>
      </x:text>
    </x:comment>
    <x:comment ref="B84:B84" authorId="0">
      <x:text>
        <x:r>
          <x:rPr>
            <x:rFont val="굴림"/>
            <x:sz val="12"/>
            <x:color rgb="ff000000"/>
          </x:rPr>
          <x:t>차량번호
4514</x:t>
        </x:r>
      </x:text>
    </x:comment>
    <x:comment ref="B85:B85" authorId="0">
      <x:text>
        <x:r>
          <x:rPr>
            <x:rFont val="굴림"/>
            <x:sz val="11"/>
            <x:color rgb="ff000000"/>
          </x:rPr>
          <x:t xml:space="preserve">차량번호 0736
</x:t>
        </x:r>
      </x:text>
    </x:comment>
    <x:comment ref="B86:B86" authorId="0">
      <x:text>
        <x:r>
          <x:rPr>
            <x:rFont val="굴림"/>
            <x:sz val="12"/>
            <x:color rgb="ff000000"/>
          </x:rPr>
          <x:t>차량번호
3085</x:t>
        </x:r>
      </x:text>
    </x:comment>
    <x:comment ref="B91:B91" authorId="0">
      <x:text>
        <x:r>
          <x:rPr>
            <x:rFont val="굴림"/>
            <x:sz val="9"/>
            <x:color rgb="ff000000"/>
          </x:rPr>
          <x:t>방혜은:
목표 달성 못하면 속상해함. 칭찬 필요</x:t>
        </x:r>
      </x:text>
    </x:comment>
    <x:comment ref="B95:B95" authorId="0">
      <x:text>
        <x:r>
          <x:rPr>
            <x:rFont val="굴림"/>
            <x:sz val="12"/>
            <x:color rgb="ff000000"/>
          </x:rPr>
          <x:t>차량번호
62나 8044</x:t>
        </x:r>
      </x:text>
    </x:comment>
    <x:comment ref="B97:B97" authorId="0">
      <x:text>
        <x:r>
          <x:rPr>
            <x:rFont val="굴림"/>
            <x:sz val="12"/>
            <x:color rgb="ff000000"/>
          </x:rPr>
          <x:t xml:space="preserve">차량번호
4422 or 7446
</x:t>
        </x:r>
      </x:text>
    </x:comment>
    <x:comment ref="B98:B98" authorId="0">
      <x:text>
        <x:r>
          <x:rPr>
            <x:rFont val="굴림"/>
            <x:sz val="12"/>
            <x:color rgb="ff000000"/>
          </x:rPr>
          <x:t>차량번호 6563</x:t>
        </x:r>
      </x:text>
    </x:comment>
    <x:comment ref="B99:B99" authorId="0">
      <x:text>
        <x:r>
          <x:rPr>
            <x:rFont val="굴림"/>
            <x:sz val="11"/>
            <x:color rgb="ff000000"/>
          </x:rPr>
          <x:t>차량번호 6209</x:t>
        </x:r>
      </x:text>
    </x:comment>
    <x:comment ref="B100:B100" authorId="0">
      <x:text>
        <x:r>
          <x:rPr>
            <x:rFont val="굴림"/>
            <x:sz val="9"/>
            <x:color rgb="ff000000"/>
          </x:rPr>
          <x:t>방혜은:
손에 땀 많음.
고소공포증</x:t>
        </x:r>
      </x:text>
    </x:comment>
    <x:comment ref="B103:B103" authorId="0">
      <x:text>
        <x:r>
          <x:rPr>
            <x:rFont val="굴림"/>
            <x:sz val="12"/>
            <x:color rgb="ff000000"/>
          </x:rPr>
          <x:t>차량번호
2552</x:t>
        </x:r>
      </x:text>
    </x:comment>
    <x:comment ref="B105:B105" authorId="0">
      <x:text>
        <x:r>
          <x:rPr>
            <x:rFont val="굴림"/>
            <x:sz val="12"/>
            <x:color rgb="ff000000"/>
          </x:rPr>
          <x:t>차량번호
9148</x:t>
        </x:r>
      </x:text>
    </x:comment>
    <x:comment ref="B106:B106" authorId="0">
      <x:text>
        <x:r>
          <x:rPr>
            <x:rFont val="굴림"/>
            <x:sz val="10"/>
            <x:color rgb="ff000000"/>
          </x:rPr>
          <x:t>손에 땀 많음</x:t>
        </x:r>
      </x:text>
    </x:comment>
    <x:comment ref="B111:B111" authorId="0">
      <x:text>
        <x:r>
          <x:rPr>
            <x:rFont val="굴림"/>
            <x:sz val="12"/>
            <x:color rgb="ff000000"/>
          </x:rPr>
          <x:t>차량번호 6687</x:t>
        </x:r>
      </x:text>
    </x:comment>
    <x:comment ref="B112:B112" authorId="0">
      <x:text>
        <x:r>
          <x:rPr>
            <x:rFont val="굴림"/>
            <x:sz val="12"/>
            <x:color rgb="ff000000"/>
          </x:rPr>
          <x:t>유철
차량번호 5211</x:t>
        </x:r>
      </x:text>
    </x:comment>
    <x:comment ref="B114:B114" authorId="0">
      <x:text>
        <x:r>
          <x:rPr>
            <x:rFont val="굴림"/>
            <x:sz val="10"/>
            <x:color rgb="ff000000"/>
          </x:rPr>
          <x:t>5792
8336
-
여도현: 다 잘 함. 엄청 활동적이고 
건후랑 티격태격 잘 하는 편.</x:t>
        </x:r>
      </x:text>
    </x:comment>
    <x:comment ref="B116:B116" authorId="0">
      <x:text>
        <x:r>
          <x:rPr>
            <x:rFont val="굴림"/>
            <x:sz val="12"/>
            <x:color rgb="ff000000"/>
          </x:rPr>
          <x:t>차량번호
3838</x:t>
        </x:r>
      </x:text>
    </x:comment>
    <x:comment ref="B117:B117" authorId="0">
      <x:text>
        <x:r>
          <x:rPr>
            <x:rFont val="굴림"/>
            <x:sz val="10"/>
            <x:color rgb="ff000000"/>
          </x:rPr>
          <x:t>방혜은:
욕심 많고 약간 산만함. 
달래면서 태우면 위험하게 안탐</x:t>
        </x:r>
      </x:text>
    </x:comment>
    <x:comment ref="B118:B118" authorId="0">
      <x:text>
        <x:r>
          <x:rPr>
            <x:rFont val="굴림"/>
            <x:sz val="11"/>
            <x:color rgb="ff000000"/>
          </x:rPr>
          <x:t>차량번호: 0528</x:t>
        </x:r>
      </x:text>
    </x:comment>
    <x:comment ref="B120:B120" authorId="0">
      <x:text>
        <x:r>
          <x:rPr>
            <x:rFont val="굴림"/>
            <x:sz val="10"/>
            <x:color rgb="ff000000"/>
          </x:rPr>
          <x:t>이주현:
벽 타는 것에 겁이 없고 잘 오릅니다. 본능적으로 발바꾸기 등을 사용하니, 기본기를 잘 지킬 때까지는 무리하지 않게 봐주시면 됩니다.(토11에서 변경)</x:t>
        </x:r>
      </x:text>
    </x:comment>
  </x:commentList>
</x:comments>
</file>

<file path=xl/comments10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김정민</x:author>
  </x:authors>
  <x:commentList>
    <x:comment ref="B59:B59" authorId="0">
      <x:text>
        <x:r>
          <x:rPr>
            <x:rFont val="굴림"/>
            <x:sz val="8"/>
            <x:color rgb="ff000000"/>
            <x:b val="1"/>
          </x:rPr>
          <x:t xml:space="preserve">방혜은:
</x:t>
        </x:r>
        <x:r>
          <x:rPr>
            <x:rFont val="굴림"/>
            <x:sz val="8"/>
            <x:color rgb="ff000000"/>
          </x:rPr>
          <x:t>매달, 다음달 4주차 결제
*3월-&gt;4월 4주차 결제
현재:3월.6월.8월(5주차 달)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<x:sst xmlns:r="http://schemas.openxmlformats.org/officeDocument/2006/relationships" xmlns:c="http://schemas.openxmlformats.org/drawingml/2006/chart" xmlns:x="http://schemas.openxmlformats.org/spreadsheetml/2006/main" count="2566" uniqueCount="439">
  <x:si>
    <x:t>보강은 빠지는 날짜에 보강날짜 입력 후 해당 보강날짜에 이름 입력 후 출석 하면 노란색 채우기</x:t>
  </x:si>
  <x:si>
    <x:t>독감</x:t>
  </x:si>
  <x:si>
    <x:t xml:space="preserve">남 </x:t>
  </x:si>
  <x:si>
    <x:t>4인 휴식, 해당 시간 수업희망
인원 있을 경우 받아도 됩니다
9월 재등록 / 주현</x:t>
  </x:si>
  <x:si>
    <x:t>보강 편성 시 가급적 인원 4-5인 이하로 할 것 (손 많이 가는 아이들이 많음)</x:t>
  </x:si>
  <x:si>
    <x:t xml:space="preserve">골반에 염증 -&gt; 2주 치료 예정 -&gt; 완쾌 시 연락 주실 예정
</x:t>
  </x:si>
  <x:si>
    <x:t>암벽화 제외(14만원)</x:t>
  </x:si>
  <x:si>
    <x:t xml:space="preserve">주 2회 화/토			
</x:t>
  </x:si>
  <x:si>
    <x:t>11월부터 목16 &gt; 일14</x:t>
  </x:si>
  <x:si>
    <x:t>수업 없는날은 검정색 채우기</x:t>
  </x:si>
  <x:si>
    <x:t>암벽화 제외 (14만원)</x:t>
  </x:si>
  <x:si>
    <x:t>여행 (7/27~8/13)</x:t>
  </x:si>
  <x:si>
    <x:t>25년 10월 Y 통과</x:t>
  </x:si>
  <x:si>
    <x:t>9월 W / 11월 Y</x:t>
  </x:si>
  <x:si>
    <x:t>손 다침(11/4~)</x:t>
  </x:si>
  <x:si>
    <x:t>10/11(W)</x:t>
  </x:si>
  <x:si>
    <x:t>11:00
마감</x:t>
  </x:si>
  <x:si>
    <x:t>출석은 노란색 채우기</x:t>
  </x:si>
  <x:si>
    <x:t>11월 중 보강 2회</x:t>
  </x:si>
  <x:si>
    <x:t>주2회 수19/일16</x:t>
  </x:si>
  <x:si>
    <x:t>주2회 화16/목18</x:t>
  </x:si>
  <x:si>
    <x:t>주2회 화16/일14</x:t>
  </x:si>
  <x:si>
    <x:t>골드테스트 메모참고</x:t>
  </x:si>
  <x:si>
    <x:t>일요일 재테스트</x:t>
  </x:si>
  <x:si>
    <x:t>8월 옐로 통과</x:t>
  </x:si>
  <x:si>
    <x:t>손가락 부상으로 휴식</x:t>
  </x:si>
  <x:si>
    <x:t>주2회 화16/일15</x:t>
  </x:si>
  <x:si>
    <x:t>2인 이상
개강 가능</x:t>
  </x:si>
  <x:si>
    <x:t>rollbook</x:t>
  </x:si>
  <x:si>
    <x:t>주2회 화17/토14</x:t>
  </x:si>
  <x:si>
    <x:t>레드 확인 후 블랙</x:t>
  </x:si>
  <x:si>
    <x:t>4월 블루 통과</x:t>
  </x:si>
  <x:si>
    <x:t>주2회 화15/금17</x:t>
  </x:si>
  <x:si>
    <x:t>Rollbook</x:t>
  </x:si>
  <x:si>
    <x:t>결석은 빨간색 채우기</x:t>
  </x:si>
  <x:si>
    <x:t>8월 그린 통과</x:t>
  </x:si>
  <x:si>
    <x:r>
      <x:t xml:space="preserve">스페셜 짝수업,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각 월 14만원. 보강규정 숙지요망</x:t>
    </x:r>
  </x:si>
  <x:si>
    <x:t>금요일 수업</x:t>
  </x:si>
  <x:si>
    <x:t>허라온(S)</x:t>
  </x:si>
  <x:si>
    <x:t>6:00</x:t>
  </x:si>
  <x:si>
    <x:t>체험예정</x:t>
  </x:si>
  <x:si>
    <x:t>10/18</x:t>
  </x:si>
  <x:si>
    <x:t>보강요망</x:t>
  </x:si>
  <x:si>
    <x:t>10월결제완</x:t>
  </x:si>
  <x:si>
    <x:t>10/8</x:t>
  </x:si>
  <x:si>
    <x:t>16:00</x:t>
  </x:si>
  <x:si>
    <x:t>8/8 Y</x:t>
  </x:si>
  <x:si>
    <x:t>11/29</x:t>
  </x:si>
  <x:si>
    <x:t>4:00
마감</x:t>
  </x:si>
  <x:si>
    <x:t>김아인(W)</x:t>
  </x:si>
  <x:si>
    <x:t>8/14</x:t>
  </x:si>
  <x:si>
    <x:t>목요일 수업</x:t>
  </x:si>
  <x:si>
    <x:t>10/5(W)</x:t>
  </x:si>
  <x:si>
    <x:t>박세훈(S)</x:t>
  </x:si>
  <x:si>
    <x:t>10/4</x:t>
  </x:si>
  <x:si>
    <x:t>8/30</x:t>
  </x:si>
  <x:si>
    <x:t>9/20</x:t>
  </x:si>
  <x:si>
    <x:t>보강 예정</x:t>
  </x:si>
  <x:si>
    <x:t>스페셜: 주현</x:t>
  </x:si>
  <x:si>
    <x:t>9/27</x:t>
  </x:si>
  <x:si>
    <x:t>10/6</x:t>
  </x:si>
  <x:si>
    <x:t>8/17</x:t>
  </x:si>
  <x:si>
    <x:t>8/13</x:t>
  </x:si>
  <x:si>
    <x:t>10/9</x:t>
  </x:si>
  <x:si>
    <x:t>7/13</x:t>
  </x:si>
  <x:si>
    <x:t>9/28</x:t>
  </x:si>
  <x:si>
    <x:t>8/22</x:t>
  </x:si>
  <x:si>
    <x:t>골드 예정</x:t>
  </x:si>
  <x:si>
    <x:t>스포츠바우처</x:t>
  </x:si>
  <x:si>
    <x:t>유경, 주현</x:t>
  </x:si>
  <x:si>
    <x:t>1:00</x:t>
  </x:si>
  <x:si>
    <x:t>10/1</x:t>
  </x:si>
  <x:si>
    <x:t>10/19</x:t>
  </x:si>
  <x:si>
    <x:t>11/3</x:t>
  </x:si>
  <x:si>
    <x:t>8/19</x:t>
  </x:si>
  <x:si>
    <x:t>11월 그린</x:t>
  </x:si>
  <x:si>
    <x:t>4:00</x:t>
  </x:si>
  <x:si>
    <x:t>10/5</x:t>
  </x:si>
  <x:si>
    <x:t>1:00
마감</x:t>
  </x:si>
  <x:si>
    <x:t>8/24</x:t>
  </x:si>
  <x:si>
    <x:t>7/28</x:t>
  </x:si>
  <x:si>
    <x:t>10/22</x:t>
  </x:si>
  <x:si>
    <x:t>Note.</x:t>
  </x:si>
  <x:si>
    <x:t>김세온(W)</x:t>
  </x:si>
  <x:si>
    <x:t>7/19 1시</x:t>
  </x:si>
  <x:si>
    <x:t>천제희(S)</x:t>
  </x:si>
  <x:si>
    <x:t>10/12</x:t>
  </x:si>
  <x:si>
    <x:t>민채와 자매</x:t>
  </x:si>
  <x:si>
    <x:t>7/25</x:t>
  </x:si>
  <x:si>
    <x:t>7/23</x:t>
  </x:si>
  <x:si>
    <x:t>9/21</x:t>
  </x:si>
  <x:si>
    <x:t>9월 블랙</x:t>
  </x:si>
  <x:si>
    <x:t>8/16</x:t>
  </x:si>
  <x:si>
    <x:t>10월 뽑기</x:t>
  </x:si>
  <x:si>
    <x:t>10/23</x:t>
  </x:si>
  <x:si>
    <x:t>8/28</x:t>
  </x:si>
  <x:si>
    <x:t>7/19</x:t>
  </x:si>
  <x:si>
    <x:t>11:00</x:t>
  </x:si>
  <x:si>
    <x:t>8/31</x:t>
  </x:si>
  <x:si>
    <x:t>10/31</x:t>
  </x:si>
  <x:si>
    <x:t>9/30(W)</x:t>
  </x:si>
  <x:si>
    <x:t>10/7</x:t>
  </x:si>
  <x:si>
    <x:t>10/24</x:t>
  </x:si>
  <x:si>
    <x:t>7/5 14시</x:t>
  </x:si>
  <x:si>
    <x:t>유경/주현</x:t>
  </x:si>
  <x:si>
    <x:t>10월 휴식</x:t>
  </x:si>
  <x:si>
    <x:t>7/26</x:t>
  </x:si>
  <x:si>
    <x:t>7/17</x:t>
  </x:si>
  <x:si>
    <x:t>7/21</x:t>
  </x:si>
  <x:si>
    <x:t>11/6</x:t>
  </x:si>
  <x:si>
    <x:t>11/2</x:t>
  </x:si>
  <x:si>
    <x:t>9/11</x:t>
  </x:si>
  <x:si>
    <x:t>10/4(G)</x:t>
  </x:si>
  <x:si>
    <x:t>8/6 G</x:t>
  </x:si>
  <x:si>
    <x:t>10/29</x:t>
  </x:si>
  <x:si>
    <x:t>토요일 수업</x:t>
  </x:si>
  <x:si>
    <x:t>9/13</x:t>
  </x:si>
  <x:si>
    <x:t>10/26</x:t>
  </x:si>
  <x:si>
    <x:t>강지원(S)</x:t>
  </x:si>
  <x:si>
    <x:t>보강예정</x:t>
  </x:si>
  <x:si>
    <x:t>11/15</x:t>
  </x:si>
  <x:si>
    <x:t>수요일 수업</x:t>
  </x:si>
  <x:si>
    <x:t>9/17</x:t>
  </x:si>
  <x:si>
    <x:t>7/22</x:t>
  </x:si>
  <x:si>
    <x:t>8/27</x:t>
  </x:si>
  <x:si>
    <x:t>일요일 수업</x:t>
  </x:si>
  <x:si>
    <x:t>10/30</x:t>
  </x:si>
  <x:si>
    <x:t>7/27</x:t>
  </x:si>
  <x:si>
    <x:t>10/15</x:t>
  </x:si>
  <x:si>
    <x:t>5:00</x:t>
  </x:si>
  <x:si>
    <x:t>11/5</x:t>
  </x:si>
  <x:si>
    <x:t>11월 Y</x:t>
  </x:si>
  <x:si>
    <x:t>8/23</x:t>
  </x:si>
  <x:si>
    <x:t>11월 뽑기</x:t>
  </x:si>
  <x:si>
    <x:t>2:00
마감</x:t>
  </x:si>
  <x:si>
    <x:t>15:00</x:t>
  </x:si>
  <x:si>
    <x:t>10:00</x:t>
  </x:si>
  <x:si>
    <x:t>16:00W</x:t>
  </x:si>
  <x:si>
    <x:t>8/12</x:t>
  </x:si>
  <x:si>
    <x:t>3:00
마감</x:t>
  </x:si>
  <x:si>
    <x:t>10/5(B)</x:t>
  </x:si>
  <x:si>
    <x:t>7/22 Y</x:t>
  </x:si>
  <x:si>
    <x:t>미결제 현황</x:t>
  </x:si>
  <x:si>
    <x:t>1월 블루</x:t>
  </x:si>
  <x:si>
    <x:t>화요일 수업</x:t>
  </x:si>
  <x:si>
    <x:t>11월결제완</x:t>
  </x:si>
  <x:si>
    <x:t>5:00
마감</x:t>
  </x:si>
  <x:si>
    <x:t>10/21</x:t>
  </x:si>
  <x:si>
    <x:t>10/4(Y)</x:t>
  </x:si>
  <x:si>
    <x:t>8/15</x:t>
  </x:si>
  <x:si>
    <x:t>11/8</x:t>
  </x:si>
  <x:si>
    <x:t>10/10</x:t>
  </x:si>
  <x:si>
    <x:t>10/5(Y)</x:t>
  </x:si>
  <x:si>
    <x:t>3:00</x:t>
  </x:si>
  <x:si>
    <x:t>12월결제완</x:t>
  </x:si>
  <x:si>
    <x:t>월요일 수업</x:t>
  </x:si>
  <x:si>
    <x:t>11/7</x:t>
  </x:si>
  <x:si>
    <x:t>곽시아</x:t>
  </x:si>
  <x:si>
    <x:t>김재이</x:t>
  </x:si>
  <x:si>
    <x:t>초3</x:t>
  </x:si>
  <x:si>
    <x:t>이유</x:t>
  </x:si>
  <x:si>
    <x:t>박다인</x:t>
  </x:si>
  <x:si>
    <x:t>허라온</x:t>
  </x:si>
  <x:si>
    <x:t>이가형</x:t>
  </x:si>
  <x:si>
    <x:t>학년</x:t>
  </x:si>
  <x:si>
    <x:t>조윤하</x:t>
  </x:si>
  <x:si>
    <x:t>김나은</x:t>
  </x:si>
  <x:si>
    <x:t>반시우</x:t>
  </x:si>
  <x:si>
    <x:t>김소율</x:t>
  </x:si>
  <x:si>
    <x:t>임서윤</x:t>
  </x:si>
  <x:si>
    <x:t>이유승</x:t>
  </x:si>
  <x:si>
    <x:t>경태인</x:t>
  </x:si>
  <x:si>
    <x:t>초2</x:t>
  </x:si>
  <x:si>
    <x:t>신지우</x:t>
  </x:si>
  <x:si>
    <x:t>7/3</x:t>
  </x:si>
  <x:si>
    <x:t>차우림</x:t>
  </x:si>
  <x:si>
    <x:t>박시온</x:t>
  </x:si>
  <x:si>
    <x:t>이제하</x:t>
  </x:si>
  <x:si>
    <x:t>임시현</x:t>
  </x:si>
  <x:si>
    <x:t>박다해</x:t>
  </x:si>
  <x:si>
    <x:t>우승민</x:t>
  </x:si>
  <x:si>
    <x:t>김민재</x:t>
  </x:si>
  <x:si>
    <x:t>최다경</x:t>
  </x:si>
  <x:si>
    <x:t>박시진</x:t>
  </x:si>
  <x:si>
    <x:t>초4</x:t>
  </x:si>
  <x:si>
    <x:t>강지원</x:t>
  </x:si>
  <x:si>
    <x:t>이연우</x:t>
  </x:si>
  <x:si>
    <x:t>엄도윤</x:t>
  </x:si>
  <x:si>
    <x:t>이다인</x:t>
  </x:si>
  <x:si>
    <x:t>합계</x:t>
  </x:si>
  <x:si>
    <x:t>문채호</x:t>
  </x:si>
  <x:si>
    <x:t>김도하</x:t>
  </x:si>
  <x:si>
    <x:t>곽나윤</x:t>
  </x:si>
  <x:si>
    <x:t>염건혁</x:t>
  </x:si>
  <x:si>
    <x:t>유우주</x:t>
  </x:si>
  <x:si>
    <x:t>신주하</x:t>
  </x:si>
  <x:si>
    <x:t>서아진</x:t>
  </x:si>
  <x:si>
    <x:t>금나래</x:t>
  </x:si>
  <x:si>
    <x:t>김서진</x:t>
  </x:si>
  <x:si>
    <x:t>9/3</x:t>
  </x:si>
  <x:si>
    <x:t>김재인</x:t>
  </x:si>
  <x:si>
    <x:t>박가령</x:t>
  </x:si>
  <x:si>
    <x:t>고건우</x:t>
  </x:si>
  <x:si>
    <x:t>순번</x:t>
  </x:si>
  <x:si>
    <x:t>박도준</x:t>
  </x:si>
  <x:si>
    <x:t>9/4</x:t>
  </x:si>
  <x:si>
    <x:t>정우현</x:t>
  </x:si>
  <x:si>
    <x:t>장민준</x:t>
  </x:si>
  <x:si>
    <x:t>신유안</x:t>
  </x:si>
  <x:si>
    <x:t>6세</x:t>
  </x:si>
  <x:si>
    <x:t>채지원</x:t>
  </x:si>
  <x:si>
    <x:t>8/9</x:t>
  </x:si>
  <x:si>
    <x:t>김세온</x:t>
  </x:si>
  <x:si>
    <x:t>황서진</x:t>
  </x:si>
  <x:si>
    <x:t>함예서</x:t>
  </x:si>
  <x:si>
    <x:t>박건후</x:t>
  </x:si>
  <x:si>
    <x:t>이유준</x:t>
  </x:si>
  <x:si>
    <x:t>박승현</x:t>
  </x:si>
  <x:si>
    <x:t>중1</x:t>
  </x:si>
  <x:si>
    <x:t>김남호</x:t>
  </x:si>
  <x:si>
    <x:t>유나은</x:t>
  </x:si>
  <x:si>
    <x:t>중2</x:t>
  </x:si>
  <x:si>
    <x:t>박한결</x:t>
  </x:si>
  <x:si>
    <x:t>김서현</x:t>
  </x:si>
  <x:si>
    <x:t>김서원</x:t>
  </x:si>
  <x:si>
    <x:t>박보너</x:t>
  </x:si>
  <x:si>
    <x:t>9/9</x:t>
  </x:si>
  <x:si>
    <x:t>25</x:t>
  </x:si>
  <x:si>
    <x:t>오소윤</x:t>
  </x:si>
  <x:si>
    <x:t>장서우</x:t>
  </x:si>
  <x:si>
    <x:t>일수</x:t>
  </x:si>
  <x:si>
    <x:t>체험</x:t>
  </x:si>
  <x:si>
    <x:t>29</x:t>
  </x:si>
  <x:si>
    <x:t>15</x:t>
  </x:si>
  <x:si>
    <x:t>9/6</x:t>
  </x:si>
  <x:si>
    <x:t>8/7</x:t>
  </x:si>
  <x:si>
    <x:t>조승재</x:t>
  </x:si>
  <x:si>
    <x:t>초1</x:t>
  </x:si>
  <x:si>
    <x:t>W</x:t>
  </x:si>
  <x:si>
    <x:t>정현우</x:t>
  </x:si>
  <x:si>
    <x:t>김주현</x:t>
  </x:si>
  <x:si>
    <x:t>김소희</x:t>
  </x:si>
  <x:si>
    <x:t>김연호</x:t>
  </x:si>
  <x:si>
    <x:t>1</x:t>
  </x:si>
  <x:si>
    <x:t>17</x:t>
  </x:si>
  <x:si>
    <x:t>28</x:t>
  </x:si>
  <x:si>
    <x:t>중3</x:t>
  </x:si>
  <x:si>
    <x:t>5</x:t>
  </x:si>
  <x:si>
    <x:t>10</x:t>
  </x:si>
  <x:si>
    <x:t>김주한</x:t>
  </x:si>
  <x:si>
    <x:t>전소연</x:t>
  </x:si>
  <x:si>
    <x:t>7</x:t>
  </x:si>
  <x:si>
    <x:t>박민솔</x:t>
  </x:si>
  <x:si>
    <x:t>박세훈</x:t>
  </x:si>
  <x:si>
    <x:t>윤진</x:t>
  </x:si>
  <x:si>
    <x:t>김예림</x:t>
  </x:si>
  <x:si>
    <x:t>8월</x:t>
  </x:si>
  <x:si>
    <x:t>안수아</x:t>
  </x:si>
  <x:si>
    <x:t>체험5</x:t>
  </x:si>
  <x:si>
    <x:t>7/6</x:t>
  </x:si>
  <x:si>
    <x:t>최명윤</x:t>
  </x:si>
  <x:si>
    <x:t>유경</x:t>
  </x:si>
  <x:si>
    <x:t>11월</x:t>
  </x:si>
  <x:si>
    <x:t>11</x:t>
  </x:si>
  <x:si>
    <x:t>이하루</x:t>
  </x:si>
  <x:si>
    <x:t>B</x:t>
  </x:si>
  <x:si>
    <x:t>최희진</x:t>
  </x:si>
  <x:si>
    <x:t>김민준</x:t>
  </x:si>
  <x:si>
    <x:t>3</x:t>
  </x:si>
  <x:si>
    <x:t>21</x:t>
  </x:si>
  <x:si>
    <x:t>주현</x:t>
  </x:si>
  <x:si>
    <x:t>이새봄</x:t>
  </x:si>
  <x:si>
    <x:t>체험1</x:t>
  </x:si>
  <x:si>
    <x:t>교통비</x:t>
  </x:si>
  <x:si>
    <x:t>27</x:t>
  </x:si>
  <x:si>
    <x:t>초6</x:t>
  </x:si>
  <x:si>
    <x:t>최유안</x:t>
  </x:si>
  <x:si>
    <x:t>복귀</x:t>
  </x:si>
  <x:si>
    <x:t>나이</x:t>
  </x:si>
  <x:si>
    <x:t>G</x:t>
  </x:si>
  <x:si>
    <x:t>김아인</x:t>
  </x:si>
  <x:si>
    <x:t>체험3</x:t>
  </x:si>
  <x:si>
    <x:t>번호</x:t>
  </x:si>
  <x:si>
    <x:t>30</x:t>
  </x:si>
  <x:si>
    <x:t>예정</x:t>
  </x:si>
  <x:si>
    <x:t>20</x:t>
  </x:si>
  <x:si>
    <x:t>12월</x:t>
  </x:si>
  <x:si>
    <x:t>한현준</x:t>
  </x:si>
  <x:si>
    <x:t>18</x:t>
  </x:si>
  <x:si>
    <x:t>9월</x:t>
  </x:si>
  <x:si>
    <x:t>정</x:t>
  </x:si>
  <x:si>
    <x:t>24</x:t>
  </x:si>
  <x:si>
    <x:t>체험2</x:t>
  </x:si>
  <x:si>
    <x:t>14</x:t>
  </x:si>
  <x:si>
    <x:t>박로하</x:t>
  </x:si>
  <x:si>
    <x:t>K</x:t>
  </x:si>
  <x:si>
    <x:t>23</x:t>
  </x:si>
  <x:si>
    <x:t>13</x:t>
  </x:si>
  <x:si>
    <x:t>R</x:t>
  </x:si>
  <x:si>
    <x:t>16</x:t>
  </x:si>
  <x:si>
    <x:t>시간</x:t>
  </x:si>
  <x:si>
    <x:t>이수민</x:t>
  </x:si>
  <x:si>
    <x:t>일</x:t>
  </x:si>
  <x:si>
    <x:t>Y</x:t>
  </x:si>
  <x:si>
    <x:t>4</x:t>
  </x:si>
  <x:si>
    <x:t>보강</x:t>
  </x:si>
  <x:si>
    <x:t>결제필</x:t>
  </x:si>
  <x:si>
    <x:t>12</x:t>
  </x:si>
  <x:si>
    <x:t>이예성</x:t>
  </x:si>
  <x:si>
    <x:t>22</x:t>
  </x:si>
  <x:si>
    <x:t>부상</x:t>
  </x:si>
  <x:si>
    <x:t>스페셜</x:t>
  </x:si>
  <x:si>
    <x:t>7세</x:t>
  </x:si>
  <x:si>
    <x:t xml:space="preserve"> </x:t>
  </x:si>
  <x:si>
    <x:t>김봄</x:t>
  </x:si>
  <x:si>
    <x:t>변경</x:t>
  </x:si>
  <x:si>
    <x:t>하도윤</x:t>
  </x:si>
  <x:si>
    <x:t>2</x:t>
  </x:si>
  <x:si>
    <x:t>식대</x:t>
  </x:si>
  <x:si>
    <x:t>근무비</x:t>
  </x:si>
  <x:si>
    <x:t>18시</x:t>
  </x:si>
  <x:si>
    <x:t>박시윤</x:t>
  </x:si>
  <x:si>
    <x:t>10월</x:t>
  </x:si>
  <x:si>
    <x:t>시작</x:t>
  </x:si>
  <x:si>
    <x:t>진윤영</x:t>
  </x:si>
  <x:si>
    <x:t>31</x:t>
  </x:si>
  <x:si>
    <x:t>국</x:t>
  </x:si>
  <x:si>
    <x:t>8</x:t>
  </x:si>
  <x:si>
    <x:t>한시윤</x:t>
  </x:si>
  <x:si>
    <x:t>26</x:t>
  </x:si>
  <x:si>
    <x:t>외</x:t>
  </x:si>
  <x:si>
    <x:t>결석</x:t>
  </x:si>
  <x:si>
    <x:t>9</x:t>
  </x:si>
  <x:si>
    <x:t>19</x:t>
  </x:si>
  <x:si>
    <x:t>`</x:t>
  </x:si>
  <x:si>
    <x:t>7월</x:t>
  </x:si>
  <x:si>
    <x:t>김진율</x:t>
  </x:si>
  <x:si>
    <x:t>김성혁</x:t>
  </x:si>
  <x:si>
    <x:t>6</x:t>
  </x:si>
  <x:si>
    <x:t>총합</x:t>
  </x:si>
  <x:si>
    <x:t>박선우</x:t>
  </x:si>
  <x:si>
    <x:t>임채원</x:t>
  </x:si>
  <x:si>
    <x:t>김승재</x:t>
  </x:si>
  <x:si>
    <x:t>김혜인</x:t>
  </x:si>
  <x:si>
    <x:t>최준서</x:t>
  </x:si>
  <x:si>
    <x:t>체험4</x:t>
  </x:si>
  <x:si>
    <x:t>옥지안</x:t>
  </x:si>
  <x:si>
    <x:t>김성연</x:t>
  </x:si>
  <x:si>
    <x:t>천제희</x:t>
  </x:si>
  <x:si>
    <x:t>권지안</x:t>
  </x:si>
  <x:si>
    <x:t>진시아</x:t>
  </x:si>
  <x:si>
    <x:t>박현진</x:t>
  </x:si>
  <x:si>
    <x:t>김은율</x:t>
  </x:si>
  <x:si>
    <x:t>김세은</x:t>
  </x:si>
  <x:si>
    <x:t>김도현</x:t>
  </x:si>
  <x:si>
    <x:t>노하성</x:t>
  </x:si>
  <x:si>
    <x:t>임아론</x:t>
  </x:si>
  <x:si>
    <x:t>신다인</x:t>
  </x:si>
  <x:si>
    <x:t>박정우</x:t>
  </x:si>
  <x:si>
    <x:t>김도희</x:t>
  </x:si>
  <x:si>
    <x:t>김지윤</x:t>
  </x:si>
  <x:si>
    <x:t>박수아</x:t>
  </x:si>
  <x:si>
    <x:t>박다겸</x:t>
  </x:si>
  <x:si>
    <x:t>최하나</x:t>
  </x:si>
  <x:si>
    <x:t>8/5</x:t>
  </x:si>
  <x:si>
    <x:t>위선유</x:t>
  </x:si>
  <x:si>
    <x:t>5등</x:t>
  </x:si>
  <x:si>
    <x:t>초5</x:t>
  </x:si>
  <x:si>
    <x:t>김은호</x:t>
  </x:si>
  <x:si>
    <x:t>곽아윤</x:t>
  </x:si>
  <x:si>
    <x:t>제소현</x:t>
  </x:si>
  <x:si>
    <x:t>박아린</x:t>
  </x:si>
  <x:si>
    <x:t>김다현</x:t>
  </x:si>
  <x:si>
    <x:t>정승호</x:t>
  </x:si>
  <x:si>
    <x:t>이가은</x:t>
  </x:si>
  <x:si>
    <x:t>여</x:t>
  </x:si>
  <x:si>
    <x:t>정주호</x:t>
  </x:si>
  <x:si>
    <x:t>임찬하</x:t>
  </x:si>
  <x:si>
    <x:t>남</x:t>
  </x:si>
  <x:si>
    <x:t>강은율</x:t>
  </x:si>
  <x:si>
    <x:t>우수빈</x:t>
  </x:si>
  <x:si>
    <x:t>박세연</x:t>
  </x:si>
  <x:si>
    <x:t>이로미</x:t>
  </x:si>
  <x:si>
    <x:t>이승안</x:t>
  </x:si>
  <x:si>
    <x:t>이름</x:t>
  </x:si>
  <x:si>
    <x:t>이지유</x:t>
  </x:si>
  <x:si>
    <x:t>홍예준</x:t>
  </x:si>
  <x:si>
    <x:t>유제아</x:t>
  </x:si>
  <x:si>
    <x:t>감기</x:t>
  </x:si>
  <x:si>
    <x:t>황동윤</x:t>
  </x:si>
  <x:si>
    <x:t>최세아</x:t>
  </x:si>
  <x:si>
    <x:t>박유니</x:t>
  </x:si>
  <x:si>
    <x:t>이나연</x:t>
  </x:si>
  <x:si>
    <x:t>최시원</x:t>
  </x:si>
  <x:si>
    <x:t>김민호</x:t>
  </x:si>
  <x:si>
    <x:t>로효주</x:t>
  </x:si>
  <x:si>
    <x:t>김소은</x:t>
  </x:si>
  <x:si>
    <x:t>이준희</x:t>
  </x:si>
  <x:si>
    <x:t>성별</x:t>
  </x:si>
  <x:si>
    <x:t>양서인</x:t>
  </x:si>
  <x:si>
    <x:t>최세빈</x:t>
  </x:si>
  <x:si>
    <x:t>손아인</x:t>
  </x:si>
  <x:si>
    <x:t>박민채</x:t>
  </x:si>
  <x:si>
    <x:t>박예레</x:t>
  </x:si>
  <x:si>
    <x:t>10/22부터 수요일 수업(일14&gt;수16) / 11월 G</x:t>
  </x:si>
  <x:si>
    <x:t>세아,세빈,지유 토13시 대기 희망 (9/14 재언급)</x:t>
  </x:si>
  <x:si>
    <x:t>11월부터 일15 &gt; 토11 | 11/8에는 수업X</x:t>
  </x:si>
  <x:si>
    <x:t>다음주에 10월 11월 결제한다고 전화오심, 10/21</x:t>
  </x:si>
  <x:si>
    <x:t>5월 그린 통과 (재확인 후 블루 필요)/손가락부상</x:t>
  </x:si>
  <x:si>
    <x:t>7월 통과, 8월 옐로 (최소 10월 그린) / 주현</x:t>
  </x:si>
  <x:si>
    <x:t>10월 셋째 주부터 화16으로 변경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</x:si>
  <x:si>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스포츠바우처 *스포츠바우처</x:t>
    </x:r>
    <x:r>
      <x:rPr>
        <x:rFont val="맑은 고딕"/>
        <x:sz val="11"/>
        <x:color rgb="ff000000"/>
      </x:rPr>
      <x:t>는 할인X</x:t>
    </x:r>
  </x:si>
  <x:si>
    <x:t>결제 예정문자 원하십니다 / 주현</x:t>
  </x:si>
  <x:si>
    <x:t>교육청 특강
6월~9월16일 까지</x:t>
  </x:si>
  <x:si>
    <x:t>남자강사님 OK / 11/2 복귀</x:t>
  </x:si>
  <x:si>
    <x:t>9월부터 수14-&gt;금17시로 변경</x:t>
  </x:si>
  <x:si>
    <x:t>테스트날 해당 색깔 이니셜 입력하기</x:t>
  </x:si>
  <x:si>
    <x:t>금15시 -&gt; 목16시로 시간 변경</x:t>
  </x:si>
  <x:si>
    <x:t>11월 Y 테스트 필수 + 11월 빡세게 굴리기</x:t>
  </x:si>
  <x:si>
    <x:t>8월 옐로 통과 / 12월까지 (내년 기숙사)</x:t>
  </x:si>
  <x:si>
    <x:t>1회는 10/30 (추석연휴 10/9 보강)</x:t>
  </x:si>
  <x:si>
    <x:t>26년 1월 ~ 2월 이사 예정, 그때까지만 진행</x:t>
  </x:si>
  <x:si>
    <x:t>주2회 화16/일15 &gt; (11월) 화16/토14</x:t>
  </x:si>
  <x:si>
    <x:t>10월 W 통과, 11/4에 상장+뱃지 수여</x:t>
  </x:si>
  <x:si>
    <x:t>12:00 ~ 13:00
점  심  시  간</x:t>
  </x:si>
  <x:si>
    <x:t>16시</x:t>
  </x:si>
  <x:si>
    <x:t>몸상태가 안 좋아서 9월29일부터 재시작</x:t>
  </x:si>
  <x:si>
    <x:r>
      <x:t xml:space="preserve">주2회 화16/금17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</x:rPr>
        </mc:Fallback>
      </mc:AlternateContent>
      <x:t>(스포츠바우처)</x:t>
    </x:r>
  </x:si>
  <x:si>
    <x:t>10월까지, 11/6 수업 마지막(보강)</x:t>
  </x:si>
  <x:si>
    <x:t>11월부터 월17 &gt; 금 17 (기말고사)</x:t>
  </x:si>
  <x:si>
    <x:t>5월 그린 통과 (재확인 후 블루 필요)</x:t>
  </x:si>
  <x:si>
    <x:t>주2회 화16/일14 / 10월 그린 통과</x:t>
  </x:si>
  <x:si>
    <x:t>5층 미술학원 수강으로 조금 늦을 수 있음</x:t>
  </x:si>
  <x:si>
    <x:t>10월 셋째 주부터 수16&gt;화16 변경</x:t>
  </x:si>
  <x:si>
    <x:t>8월부터 화16 -&gt; 금18시로 시간 변경</x:t>
  </x:si>
  <x:si>
    <x:t>스포츠바우처 *스포츠 바우처는 할인X</x:t>
  </x:si>
  <x:si>
    <x:t>휴식</x:t>
  </x:si>
  <x:si>
    <x:t>전수빈</x:t>
  </x:si>
  <x:si>
    <x:t>이서윤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</x:si>
</x:sst>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m&quot;/&quot;d"/>
    <x:numFmt numFmtId="165" formatCode="mm&quot;월 &quot;dd&quot;일&quot;"/>
    <x:numFmt numFmtId="166" formatCode="#,##0_ "/>
  </x:numFmts>
  <x:fonts count="4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1"/>
      <x:color rgb="ffff0000"/>
    </x:font>
    <x:font>
      <x:name val="맑은 고딕"/>
      <x:sz val="12"/>
      <x:color rgb="ffffffff"/>
      <x:b val="1"/>
    </x:font>
    <x:font>
      <x:name val="맑은 고딕"/>
      <x:sz val="11"/>
      <x:color rgb="ffffffff"/>
      <x:b val="1"/>
    </x:font>
    <x:font>
      <x:name val="맑은 고딕"/>
      <x:sz val="10"/>
      <x:color rgb="ff80008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7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7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hadowType val="drop"/>
          <hs:shadowOffsetX val="10"/>
          <hs:shadowOffsetY val="10"/>
          <hs:shadowColor rgb="ffc0c0c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843a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843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843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843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843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843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66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66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66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66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843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843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</x:fonts>
  <x:fills count="1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a6a6a6"/>
        <x:bgColor indexed="64"/>
      </x:patternFill>
    </x:fill>
    <x:fill>
      <x:patternFill patternType="solid">
        <x:fgColor rgb="ffff843a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42c7f1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8cbac"/>
        <x:bgColor indexed="64"/>
      </x:patternFill>
    </x:fill>
  </x:fills>
  <x:borders count="207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000000"/>
      </x:top>
      <x:bottom>
        <x:color indexed="64"/>
      </x:bottom>
    </x:border>
    <x:border>
      <x:left style="thin">
        <x:color indexed="64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thin">
        <x:color indexed="64"/>
      </x:left>
      <x:right style="medium">
        <x:color rgb="ff000000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000000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medium">
        <x:color rgb="ff000000"/>
      </x:right>
      <x:top style="medium">
        <x:color rgb="ff000000"/>
      </x:top>
      <x:bottom style="thin">
        <x:color indexed="64"/>
      </x:bottom>
    </x:border>
    <x:border>
      <x:left style="thin">
        <x:color indexed="64"/>
      </x:left>
      <x:right style="medium">
        <x:color rgb="ff000000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rgb="ff000000"/>
      </x:right>
      <x:top style="medium">
        <x:color indexed="64"/>
      </x:top>
      <x:bottom style="thin">
        <x:color indexed="64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rgb="ff000000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rgb="ff000000"/>
      </x:top>
      <x:bottom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indexed="64"/>
      </x:left>
      <x:right style="medium">
        <x:color rgb="ffff6600"/>
      </x:right>
      <x:top style="medium">
        <x:color rgb="ffff6600"/>
      </x:top>
      <x:bottom style="medium">
        <x:color rgb="ffff6600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rgb="ffff6600"/>
      </x:left>
      <x:right style="thin">
        <x:color indexed="64"/>
      </x:right>
      <x:top style="medium">
        <x:color rgb="ffff6600"/>
      </x:top>
      <x:bottom style="medium">
        <x:color rgb="ffff6600"/>
      </x:bottom>
    </x:border>
    <x:border>
      <x:left style="thin">
        <x:color indexed="64"/>
      </x:left>
      <x:right style="thin">
        <x:color indexed="64"/>
      </x:right>
      <x:top style="medium">
        <x:color rgb="ffff6600"/>
      </x:top>
      <x:bottom style="medium">
        <x:color rgb="ffff6600"/>
      </x:bottom>
    </x:border>
    <x:border>
      <x:left style="medium">
        <x:color rgb="ffff6600"/>
      </x:left>
      <x:right style="medium">
        <x:color rgb="ffff843a"/>
      </x:right>
      <x:top style="medium">
        <x:color rgb="ffff6600"/>
      </x:top>
      <x:bottom style="medium">
        <x:color rgb="ffff6600"/>
      </x:bottom>
    </x:border>
    <x:border>
      <x:left style="medium">
        <x:color rgb="ffff843a"/>
      </x:left>
      <x:right style="thin">
        <x:color indexed="64"/>
      </x:right>
      <x:top style="medium">
        <x:color rgb="ffff6600"/>
      </x:top>
      <x:bottom style="medium">
        <x:color rgb="ffff6600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ff6600"/>
      </x:left>
      <x:right style="medium">
        <x:color rgb="ffff6600"/>
      </x:right>
      <x:top style="medium">
        <x:color rgb="ffff6600"/>
      </x:top>
      <x:bottom style="medium">
        <x:color rgb="ffff6600"/>
      </x:bottom>
    </x:border>
    <x:border>
      <x:left>
        <x:color indexed="64"/>
      </x:left>
      <x:right style="thin">
        <x:color indexed="64"/>
      </x:right>
      <x:top style="medium">
        <x:color rgb="ffff6600"/>
      </x:top>
      <x:bottom style="medium">
        <x:color rgb="ffff6600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rgb="ff000000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medium">
        <x:color rgb="ff000000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rgb="ff000000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ff843a"/>
      </x:top>
      <x:bottom style="medium">
        <x:color rgb="ffff843a"/>
      </x:bottom>
    </x:border>
    <x:border>
      <x:left style="medium">
        <x:color indexed="64"/>
      </x:left>
      <x:right style="thin">
        <x:color indexed="64"/>
      </x:right>
      <x:top style="medium">
        <x:color rgb="ffff843a"/>
      </x:top>
      <x:bottom style="medium">
        <x:color rgb="ffff843a"/>
      </x:bottom>
    </x:border>
    <x:border>
      <x:left style="thin">
        <x:color indexed="64"/>
      </x:left>
      <x:right style="medium">
        <x:color indexed="64"/>
      </x:right>
      <x:top style="medium">
        <x:color rgb="ffff843a"/>
      </x:top>
      <x:bottom style="medium">
        <x:color rgb="ffff843a"/>
      </x:bottom>
    </x:border>
    <x:border>
      <x:left style="thin">
        <x:color indexed="64"/>
      </x:left>
      <x:right>
        <x:color indexed="64"/>
      </x:right>
      <x:top style="medium">
        <x:color rgb="ffff843a"/>
      </x:top>
      <x:bottom style="medium">
        <x:color rgb="ffff843a"/>
      </x:bottom>
    </x:border>
    <x:border>
      <x:left>
        <x:color indexed="64"/>
      </x:left>
      <x:right style="thin">
        <x:color indexed="64"/>
      </x:right>
      <x:top style="medium">
        <x:color rgb="ffff843a"/>
      </x:top>
      <x:bottom style="medium">
        <x:color rgb="ffff843a"/>
      </x:bottom>
    </x:border>
    <x:border>
      <x:left style="medium">
        <x:color rgb="ffff843a"/>
      </x:left>
      <x:right style="medium">
        <x:color rgb="ffff843a"/>
      </x:right>
      <x:top style="medium">
        <x:color rgb="ffff843a"/>
      </x:top>
      <x:bottom style="medium">
        <x:color rgb="ffff843a"/>
      </x:bottom>
    </x:border>
    <x:border>
      <x:left>
        <x:color indexed="64"/>
      </x:left>
      <x:right style="medium">
        <x:color indexed="64"/>
      </x:right>
      <x:top style="medium">
        <x:color rgb="ffff843a"/>
      </x:top>
      <x:bottom style="medium">
        <x:color rgb="ffff843a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rgb="ffff843a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medium">
        <x:color rgb="ffff843a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rgb="ff000000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rgb="ffff843a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rgb="ffff843a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ff843a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ff843a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indexed="64"/>
      </x:right>
      <x:top style="medium">
        <x:color rgb="ff000000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rgb="ff000000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rgb="ff000000"/>
      </x:top>
      <x:bottom>
        <x:color indexed="64"/>
      </x:bottom>
    </x:border>
    <x:border>
      <x:left style="thin">
        <x:color indexed="64"/>
      </x:left>
      <x:right>
        <x:color indexed="64"/>
      </x:right>
      <x:top style="medium">
        <x:color rgb="ff000000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rgb="ff000000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rgb="ff000000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rgb="ff000000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rgb="ff000000"/>
      </x:bottom>
    </x:border>
    <x:border>
      <x:left style="medium">
        <x:color rgb="ffff6600"/>
      </x:left>
      <x:right style="thin">
        <x:color indexed="64"/>
      </x:right>
      <x:top style="medium">
        <x:color rgb="ffff6600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ff6600"/>
      </x:top>
      <x:bottom>
        <x:color indexed="64"/>
      </x:bottom>
    </x:border>
    <x:border>
      <x:left style="thin">
        <x:color indexed="64"/>
      </x:left>
      <x:right style="medium">
        <x:color rgb="ffff6600"/>
      </x:right>
      <x:top style="medium">
        <x:color rgb="ffff6600"/>
      </x:top>
      <x:bottom>
        <x:color indexed="64"/>
      </x:bottom>
    </x:border>
    <x:border>
      <x:left style="medium">
        <x:color rgb="ffff6600"/>
      </x:left>
      <x:right style="medium">
        <x:color rgb="ffff6600"/>
      </x:right>
      <x:top style="medium">
        <x:color rgb="ffff6600"/>
      </x:top>
      <x:bottom>
        <x:color indexed="64"/>
      </x:bottom>
    </x:border>
    <x:border>
      <x:left>
        <x:color indexed="64"/>
      </x:left>
      <x:right style="medium">
        <x:color rgb="ffff6600"/>
      </x:right>
      <x:top style="medium">
        <x:color rgb="ffff6600"/>
      </x:top>
      <x:bottom>
        <x:color indexed="64"/>
      </x:bottom>
    </x:border>
    <x:border>
      <x:left style="thin">
        <x:color indexed="64"/>
      </x:left>
      <x:right>
        <x:color indexed="64"/>
      </x:right>
      <x:top style="medium">
        <x:color rgb="ffff6600"/>
      </x:top>
      <x:bottom>
        <x:color indexed="64"/>
      </x:bottom>
    </x:border>
    <x:border>
      <x:left style="medium">
        <x:color rgb="ffff843a"/>
      </x:left>
      <x:right style="thin">
        <x:color indexed="64"/>
      </x:right>
      <x:top style="medium">
        <x:color rgb="ffff843a"/>
      </x:top>
      <x:bottom style="medium">
        <x:color rgb="ffff843a"/>
      </x:bottom>
    </x:border>
    <x:border>
      <x:left style="thin">
        <x:color indexed="64"/>
      </x:left>
      <x:right style="medium">
        <x:color rgb="ffff6600"/>
      </x:right>
      <x:top style="medium">
        <x:color rgb="ffff843a"/>
      </x:top>
      <x:bottom style="medium">
        <x:color rgb="ffff843a"/>
      </x:bottom>
    </x:border>
    <x:border>
      <x:left style="medium">
        <x:color rgb="ffff6600"/>
      </x:left>
      <x:right style="medium">
        <x:color rgb="ffff6600"/>
      </x:right>
      <x:top style="medium">
        <x:color rgb="ffff843a"/>
      </x:top>
      <x:bottom style="medium">
        <x:color rgb="ffff843a"/>
      </x:bottom>
    </x:border>
    <x:border>
      <x:left style="medium">
        <x:color rgb="ffff6600"/>
      </x:left>
      <x:right style="thin">
        <x:color indexed="64"/>
      </x:right>
      <x:top style="medium">
        <x:color rgb="ffff843a"/>
      </x:top>
      <x:bottom style="medium">
        <x:color rgb="ffff843a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rgb="ffff6600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thin">
        <x:color rgb="ff000000"/>
      </x:right>
      <x:top style="thin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 style="medium">
        <x:color rgb="ff000000"/>
      </x:right>
      <x:top style="thin">
        <x:color rgb="ff000000"/>
      </x:top>
      <x:bottom style="thin">
        <x:color indexed="64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thin">
        <x:color rgb="ff000000"/>
      </x:right>
      <x:top style="medium">
        <x:color rgb="ff000000"/>
      </x:top>
      <x:bottom style="thin">
        <x:color indexed="64"/>
      </x:bottom>
    </x:border>
    <x:border>
      <x:left>
        <x:color indexed="64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thin">
        <x:color rgb="ff000000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medium">
        <x:color rgb="ffff843a"/>
      </x:bottom>
    </x:border>
    <x:border>
      <x:left>
        <x:color indexed="64"/>
      </x:left>
      <x:right style="thin">
        <x:color indexed="64"/>
      </x:right>
      <x:top style="thin">
        <x:color rgb="ff000000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rgb="ffff843a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rgb="ffff843a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rgb="ffff6600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rgb="ffff6600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rgb="ffff6600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medium">
        <x:color rgb="ffff6600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rgb="ffff6600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medium">
        <x:color indexed="64"/>
      </x:bottom>
    </x:border>
    <x:border>
      <x:left style="thin">
        <x:color rgb="ff000000"/>
      </x:left>
      <x:right style="medium">
        <x:color rgb="ff000000"/>
      </x:right>
      <x:top>
        <x:color indexed="64"/>
      </x:top>
      <x:bottom style="medium"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rgb="ffff843a"/>
      </x:bottom>
    </x:border>
    <x:border>
      <x:left style="medium">
        <x:color rgb="ffff843a"/>
      </x:left>
      <x:right style="medium">
        <x:color rgb="ffff843a"/>
      </x:right>
      <x:top>
        <x:color indexed="64"/>
      </x:top>
      <x:bottom style="medium">
        <x:color rgb="ffff843a"/>
      </x:bottom>
    </x:border>
    <x:border>
      <x:left style="medium">
        <x:color indexed="64"/>
      </x:left>
      <x:right style="thin">
        <x:color rgb="ff000000"/>
      </x:right>
      <x:top>
        <x:color indexed="64"/>
      </x:top>
      <x:bottom style="medium">
        <x:color indexed="64"/>
      </x:bottom>
    </x:border>
    <x:border>
      <x:left style="thin">
        <x:color rgb="ffff843a"/>
      </x:left>
      <x:right style="thin">
        <x:color rgb="ffff843a"/>
      </x:right>
      <x:top style="thick">
        <x:color rgb="ffff843a"/>
      </x:top>
      <x:bottom style="thin">
        <x:color rgb="ffff843a"/>
      </x:bottom>
    </x:border>
    <x:border>
      <x:left style="thin">
        <x:color rgb="ffff843a"/>
      </x:left>
      <x:right style="thin">
        <x:color rgb="ffff843a"/>
      </x:right>
      <x:top style="thin">
        <x:color rgb="ffff843a"/>
      </x:top>
      <x:bottom style="thick">
        <x:color rgb="ffff843a"/>
      </x:bottom>
    </x:border>
    <x:border>
      <x:left style="thin">
        <x:color rgb="ffff843a"/>
      </x:left>
      <x:right>
        <x:color indexed="64"/>
      </x:right>
      <x:top style="thick">
        <x:color rgb="ffff843a"/>
      </x:top>
      <x:bottom style="thin">
        <x:color rgb="ffff843a"/>
      </x:bottom>
    </x:border>
    <x:border>
      <x:left style="thin">
        <x:color rgb="ffff843a"/>
      </x:left>
      <x:right>
        <x:color indexed="64"/>
      </x:right>
      <x:top style="thin">
        <x:color rgb="ffff843a"/>
      </x:top>
      <x:bottom style="thick">
        <x:color rgb="ffff843a"/>
      </x:bottom>
    </x:border>
    <x:border>
      <x:left style="medium">
        <x:color rgb="ffff843a"/>
      </x:left>
      <x:right style="thin">
        <x:color indexed="64"/>
      </x:right>
      <x:top style="medium">
        <x:color rgb="ffff843a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ff843a"/>
      </x:top>
      <x:bottom style="thin">
        <x:color indexed="64"/>
      </x:bottom>
    </x:border>
    <x:border>
      <x:left style="thin">
        <x:color indexed="64"/>
      </x:left>
      <x:right style="medium">
        <x:color rgb="ffff843a"/>
      </x:right>
      <x:top style="medium">
        <x:color rgb="ffff843a"/>
      </x:top>
      <x:bottom style="thin">
        <x:color indexed="64"/>
      </x:bottom>
    </x:border>
    <x:border>
      <x:left>
        <x:color indexed="64"/>
      </x:left>
      <x:right style="thin">
        <x:color rgb="ffff843a"/>
      </x:right>
      <x:top style="thick">
        <x:color rgb="ffff843a"/>
      </x:top>
      <x:bottom style="thin">
        <x:color rgb="ffff843a"/>
      </x:bottom>
    </x:border>
    <x:border>
      <x:left style="medium">
        <x:color rgb="ffff843a"/>
      </x:left>
      <x:right style="thin">
        <x:color indexed="64"/>
      </x:right>
      <x:top style="thin">
        <x:color indexed="64"/>
      </x:top>
      <x:bottom style="medium">
        <x:color rgb="ffff843a"/>
      </x:bottom>
    </x:border>
    <x:border>
      <x:left style="thin">
        <x:color indexed="64"/>
      </x:left>
      <x:right style="medium">
        <x:color rgb="ffff843a"/>
      </x:right>
      <x:top style="thin">
        <x:color indexed="64"/>
      </x:top>
      <x:bottom style="medium">
        <x:color rgb="ffff843a"/>
      </x:bottom>
    </x:border>
    <x:border>
      <x:left>
        <x:color indexed="64"/>
      </x:left>
      <x:right style="thin">
        <x:color rgb="ffff843a"/>
      </x:right>
      <x:top style="thin">
        <x:color rgb="ffff843a"/>
      </x:top>
      <x:bottom style="thick">
        <x:color rgb="ffff843a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rgb="ffff843a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rgb="ffff66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indexed="64"/>
      </x:left>
      <x:right style="medium">
        <x:color rgb="ffff843a"/>
      </x:right>
      <x:top style="medium">
        <x:color rgb="ffff843a"/>
      </x:top>
      <x:bottom style="medium">
        <x:color rgb="ffff843a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medium">
        <x:color rgb="ff000000"/>
      </x:bottom>
    </x:border>
    <x:border>
      <x:left>
        <x:color indexed="64"/>
      </x:left>
      <x:right>
        <x:color indexed="64"/>
      </x:right>
      <x:top style="thin">
        <x:color indexed="64"/>
      </x:top>
      <x:bottom style="medium">
        <x:color rgb="ff000000"/>
      </x:bottom>
    </x:border>
    <x:border>
      <x:left>
        <x:color indexed="64"/>
      </x:left>
      <x:right style="medium">
        <x:color rgb="ff000000"/>
      </x:right>
      <x:top style="thin">
        <x:color indexed="64"/>
      </x:top>
      <x:bottom style="medium">
        <x:color rgb="ff000000"/>
      </x:bottom>
    </x:border>
    <x:border>
      <x:left>
        <x:color indexed="64"/>
      </x:left>
      <x:right style="medium">
        <x:color rgb="ff000000"/>
      </x:right>
      <x:top style="thin">
        <x:color indexed="64"/>
      </x:top>
      <x:bottom style="thin">
        <x:color indexed="64"/>
      </x:bottom>
    </x:border>
    <x:border>
      <x:left style="medium">
        <x:color rgb="ff000000"/>
      </x:left>
      <x:right style="thin">
        <x:color indexed="64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thin">
        <x:color indexed="64"/>
      </x:right>
      <x:top>
        <x:color indexed="64"/>
      </x:top>
      <x:bottom style="medium">
        <x:color rgb="ff000000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rgb="ffff6600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rgb="ff000000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rgb="ff000000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rgb="ffff843a"/>
      </x:left>
      <x:right style="thin">
        <x:color indexed="64"/>
      </x:right>
      <x:top style="medium">
        <x:color rgb="ffff843a"/>
      </x:top>
      <x:bottom>
        <x:color indexed="64"/>
      </x:bottom>
    </x:border>
    <x:border>
      <x:left style="medium">
        <x:color rgb="ffff843a"/>
      </x:left>
      <x:right style="thin">
        <x:color indexed="64"/>
      </x:right>
      <x:top>
        <x:color indexed="64"/>
      </x:top>
      <x:bottom style="medium">
        <x:color rgb="ffff843a"/>
      </x:bottom>
    </x:border>
  </x:borders>
  <x:cellStyleXfs count="1">
    <x:xf numFmtId="0" fontId="0" fillId="0" borderId="0">
      <x:alignment horizontal="general" vertical="center"/>
    </x:xf>
  </x:cellStyleXfs>
  <x:cellXfs count="1359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ont="1" applyFill="1" applyBorder="1" applyAlignment="1">
          <x:alignment horizontal="center" vertical="center"/>
        </x:xf>
      </mc:Fallback>
    </mc:AlternateContent>
    <x:xf numFmtId="0" fontId="0" fillId="2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ill="1" applyBorder="1" applyAlignment="1">
          <x:alignment horizontal="center" vertical="center"/>
        </x:xf>
      </mc:Fallback>
    </mc:AlternateContent>
    <x:xf numFmtId="49" fontId="0" fillId="2" borderId="5" xfId="0" applyNumberFormat="1" applyFill="1" applyBorder="1">
      <x:alignment horizontal="general" vertical="center"/>
    </x:xf>
    <x:xf numFmtId="49" fontId="0" fillId="2" borderId="6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>
          <x:alignment horizontal="center" vertical="center"/>
        </x:xf>
      </mc:Fallback>
    </mc:AlternateContent>
    <x:xf numFmtId="0" fontId="0" fillId="2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3" xfId="0" applyNumberFormat="1" applyFont="1" applyFill="1" applyBorder="1" applyAlignment="1">
          <x:alignment horizontal="center" vertical="center"/>
        </x:xf>
      </mc:Fallback>
    </mc:AlternateContent>
    <x:xf numFmtId="49" fontId="0" fillId="2" borderId="0" xfId="0" applyNumberFormat="1" applyFill="1">
      <x:alignment horizontal="general" vertical="center"/>
    </x:xf>
    <x:xf numFmtId="49" fontId="6" fillId="2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9" xfId="0" applyNumberFormat="1" applyFill="1" applyBorder="1" applyAlignment="1">
          <x:alignment horizontal="center" vertical="center"/>
        </x:xf>
      </mc:Fallback>
    </mc:AlternateContent>
    <x:xf numFmtId="49" fontId="0" fillId="2" borderId="1" xfId="0" applyNumberFormat="1" applyFont="1" applyFill="1" applyBorder="1" applyAlignment="1">
      <x:alignment horizontal="left" vertical="center"/>
    </x:xf>
    <x:xf numFmtId="49" fontId="0" fillId="2" borderId="0" xfId="0" applyNumberFormat="1" applyFill="1" applyAlignment="1">
      <x:alignment horizontal="left" vertical="center"/>
    </x:xf>
    <x:xf numFmtId="0" fontId="0" fillId="2" borderId="0" xfId="0" applyNumberForma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3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30" xfId="0" applyNumberFormat="1" applyFill="1" applyBorder="1" applyAlignment="1">
          <x:alignment horizontal="center" vertical="center"/>
        </x:xf>
      </mc:Fallback>
    </mc:AlternateContent>
    <x:xf numFmtId="0" fontId="0" fillId="2" borderId="31" xfId="0" applyNumberFormat="1" applyFill="1" applyBorder="1" applyAlignment="1">
      <x:alignment horizontal="left" vertical="center"/>
    </x:xf>
    <x:xf numFmtId="0" fontId="0" fillId="2" borderId="6" xfId="0" applyNumberFormat="1" applyFill="1" applyBorder="1" applyAlignment="1">
      <x:alignment horizontal="left" vertical="center"/>
    </x:xf>
    <x:xf numFmtId="0" fontId="0" fillId="2" borderId="32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8" xfId="0" applyNumberFormat="1" applyFont="1" applyFill="1" applyBorder="1" applyAlignment="1">
          <x:alignment horizontal="center" vertical="center"/>
        </x:xf>
      </mc:Fallback>
    </mc:AlternateContent>
    <x:xf numFmtId="0" fontId="0" fillId="2" borderId="39" xfId="0" applyNumberFormat="1" applyFill="1" applyBorder="1" applyAlignment="1">
      <x:alignment horizontal="left" vertical="center"/>
    </x:xf>
    <x:xf numFmtId="0" fontId="0" fillId="2" borderId="5" xfId="0" applyNumberFormat="1" applyFill="1" applyBorder="1" applyAlignment="1">
      <x:alignment horizontal="left" vertical="center"/>
    </x:xf>
    <x:xf numFmtId="0" fontId="0" fillId="2" borderId="40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5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8" fillId="6" borderId="5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8" fillId="6" borderId="5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7" xfId="0" applyNumberFormat="1" applyFill="1" applyBorder="1" applyAlignment="1">
          <x:alignment horizontal="center" vertical="center"/>
        </x:xf>
      </mc:Fallback>
    </mc:AlternateContent>
    <x:xf numFmtId="0" fontId="0" fillId="2" borderId="57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9" xfId="0" applyNumberFormat="1" applyFill="1" applyBorder="1" applyAlignment="1">
          <x:alignment horizontal="center" vertical="center"/>
        </x:xf>
      </mc:Fallback>
    </mc:AlternateContent>
    <x:xf numFmtId="49" fontId="0" fillId="2" borderId="4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9" fillId="7" borderId="6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9" fillId="7" borderId="6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" xfId="0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6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6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6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7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74" xfId="0" applyNumberFormat="1" applyFill="1" applyBorder="1" applyAlignment="1">
          <x:alignment horizontal="center" vertical="center"/>
        </x:xf>
      </mc:Fallback>
    </mc:AlternateContent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7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7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" xfId="0" applyNumberFormat="1" applyFill="1" applyBorder="1" applyAlignment="1">
          <x:alignment horizontal="center" vertical="center"/>
        </x:xf>
      </mc:Fallback>
    </mc:AlternateContent>
    <x:xf numFmtId="0" fontId="0" fillId="9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7" xfId="0" applyNumberFormat="1" applyFont="1" applyFill="1" applyBorder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9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9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8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8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8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8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5" fillId="9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5" fillId="9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8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8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8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8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9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ill="1" applyBorder="1" applyAlignment="1">
          <x:alignment horizontal="center" vertical="center"/>
        </x:xf>
      </mc:Fallback>
    </mc:AlternateContent>
    <x:xf numFmtId="0" fontId="0" fillId="5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0" xfId="0" applyNumberFormat="1" applyFill="1" applyBorder="1" applyAlignment="1">
          <x:alignment horizontal="center" vertical="center"/>
        </x:xf>
      </mc:Fallback>
    </mc:AlternateContent>
    <x:xf numFmtId="49" fontId="0" fillId="0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9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9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9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9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9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3" xfId="0" applyNumberFormat="1" applyFill="1" applyBorder="1" applyAlignment="1">
          <x:alignment horizontal="center" vertical="center"/>
        </x:xf>
      </mc:Fallback>
    </mc:AlternateContent>
    <x:xf numFmtId="0" fontId="0" fillId="2" borderId="100" xfId="0" applyNumberFormat="1" applyFill="1" applyBorder="1" applyAlignment="1">
      <x:alignment horizontal="left" vertical="center"/>
    </x:xf>
    <x:xf numFmtId="0" fontId="0" fillId="2" borderId="101" xfId="0" applyNumberFormat="1" applyFill="1" applyBorder="1" applyAlignment="1">
      <x:alignment horizontal="left" vertical="center"/>
    </x:xf>
    <x:xf numFmtId="0" fontId="0" fillId="2" borderId="102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10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left" vertical="center"/>
    </x:xf>
    <x:xf numFmtId="0" fontId="0" fillId="0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6" fillId="2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ill="1" applyBorder="1" applyAlignment="1">
          <x:alignment horizontal="center" vertical="center"/>
        </x:xf>
      </mc:Fallback>
    </mc:AlternateContent>
    <x:xf numFmtId="0" fontId="0" fillId="2" borderId="0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2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0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0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0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0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0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0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2" xfId="0" applyNumberFormat="1" applyFont="1" applyFill="1" applyBorder="1" applyAlignment="1">
          <x:alignment horizontal="center" vertical="center"/>
        </x:xf>
      </mc:Fallback>
    </mc:AlternateContent>
    <x:xf numFmtId="49" fontId="0" fillId="2" borderId="110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5" borderId="1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8" fillId="2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8" fillId="2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0" xfId="0" applyNumberFormat="1" applyFill="1" applyBorder="1" applyAlignment="1">
          <x:alignment horizontal="center" vertical="center"/>
        </x:xf>
      </mc:Fallback>
    </mc:AlternateContent>
    <x:xf numFmtId="0" fontId="0" fillId="2" borderId="0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6" fillId="7" borderId="1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1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8" fillId="6" borderId="8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8" fillId="6" borderId="8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1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1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" xfId="0" applyNumberFormat="1" applyFont="1" applyFill="1" applyBorder="1" applyAlignment="1">
          <x:alignment horizontal="center" vertical="center"/>
        </x:xf>
      </mc:Fallback>
    </mc:AlternateContent>
    <x:xf numFmtId="0" fontId="1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8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4" borderId="10" xfId="0" applyNumberFormat="1" applyFont="1" applyFill="1" applyBorder="1" applyAlignment="1">
          <x:alignment horizontal="center" vertical="center"/>
        </x:xf>
      </mc:Fallback>
    </mc:AlternateContent>
    <x:xf numFmtId="49" fontId="18" fillId="2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8" fillId="5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50" xfId="0" applyNumberFormat="1" applyFont="1" applyFill="1" applyBorder="1" applyAlignment="1">
          <x:alignment horizontal="center" vertical="center"/>
        </x:xf>
      </mc:Fallback>
    </mc:AlternateContent>
    <x:xf numFmtId="49" fontId="18" fillId="5" borderId="24" xfId="0" applyNumberFormat="1" applyFont="1" applyFill="1" applyBorder="1" applyAlignment="1">
      <x:alignment horizontal="general" vertical="center"/>
    </x:xf>
    <x:xf numFmtId="49" fontId="18" fillId="5" borderId="20" xfId="0" applyNumberFormat="1" applyFont="1" applyFill="1" applyBorder="1" applyAlignment="1">
      <x:alignment horizontal="general" vertical="center"/>
    </x:xf>
    <x:xf numFmtId="49" fontId="18" fillId="5" borderId="23" xfId="0" applyNumberFormat="1" applyFont="1" applyFill="1" applyBorder="1" applyAlignment="1">
      <x:alignment horizontal="general" vertical="center"/>
    </x:xf>
    <x:xf numFmtId="0" fontId="18" fillId="2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5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2" borderId="4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8" fillId="5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5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2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2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2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2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5" borderId="2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11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11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7" fillId="9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7" fillId="9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9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9" fillId="9" borderId="1" xfId="0" applyNumberFormat="1" applyFont="1" applyFill="1" applyBorder="1" applyAlignment="1">
          <x:alignment horizontal="center" vertical="center"/>
        </x:xf>
      </mc:Fallback>
    </mc:AlternateContent>
    <x:xf numFmtId="49" fontId="0" fillId="9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" xfId="0" applyNumberFormat="1" applyFont="1" applyFill="1" applyBorder="1" applyAlignment="1" applyProtection="1">
          <x:alignment horizontal="center" vertical="center"/>
        </x:xf>
      </mc:Fallback>
    </mc:AlternateContent>
    <x:xf numFmtId="49" fontId="0" fillId="9" borderId="2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2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2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6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6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3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3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7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7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3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3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8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8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166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2" borderId="10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2" borderId="10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1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1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7" xfId="0" applyNumberFormat="1" applyFill="1" applyBorder="1" applyAlignment="1">
      <x:alignment horizontal="left" vertical="center"/>
    </x:xf>
    <x:xf numFmtId="0" fontId="0" fillId="2" borderId="2" xfId="0" applyNumberFormat="1" applyFill="1" applyBorder="1" applyAlignment="1">
      <x:alignment horizontal="left" vertical="center"/>
    </x:xf>
    <x:xf numFmtId="0" fontId="0" fillId="2" borderId="24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7" xfId="0" applyNumberFormat="1" applyFont="1" applyFill="1" applyBorder="1" applyAlignment="1">
          <x:alignment horizontal="center" vertical="center"/>
        </x:xf>
      </mc:Fallback>
    </mc:AlternateContent>
    <x:xf numFmtId="0" fontId="22" fillId="2" borderId="31" xfId="0" applyNumberFormat="1" applyFont="1" applyFill="1" applyBorder="1" applyAlignment="1" applyProtection="1">
      <x:alignment horizontal="left" vertical="center"/>
    </x:xf>
    <x:xf numFmtId="0" fontId="22" fillId="2" borderId="6" xfId="0" applyNumberFormat="1" applyFont="1" applyFill="1" applyBorder="1" applyAlignment="1" applyProtection="1">
      <x:alignment horizontal="left" vertical="center"/>
    </x:xf>
    <x:xf numFmtId="0" fontId="22" fillId="2" borderId="3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7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7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0" borderId="20" xfId="0" applyNumberFormat="1" applyFont="1" applyFill="1" applyBorder="1" applyAlignment="1">
          <x:alignment horizontal="center" vertical="center"/>
        </x:xf>
      </mc:Fallback>
    </mc:AlternateContent>
    <x:xf numFmtId="0" fontId="0" fillId="2" borderId="56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2" xfId="0" applyNumberFormat="1" applyFont="1" applyFill="1" applyBorder="1" applyAlignment="1">
          <x:alignment horizontal="center" vertical="center"/>
        </x:xf>
      </mc:Fallback>
    </mc:AlternateContent>
    <x:xf numFmtId="49" fontId="0" fillId="9" borderId="2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Font="1" applyFill="1" applyBorder="1" applyAlignment="1">
          <x:alignment horizontal="center" vertical="center"/>
        </x:xf>
      </mc:Fallback>
    </mc:AlternateContent>
    <x:xf numFmtId="49" fontId="0" fillId="0" borderId="4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6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6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2" borderId="4" xfId="0" applyNumberFormat="1" applyFont="1" applyFill="1" applyBorder="1" applyAlignment="1">
          <x:alignment horizontal="center" vertical="center"/>
        </x:xf>
      </mc:Fallback>
    </mc:AlternateContent>
    <x:xf numFmtId="49" fontId="0" fillId="5" borderId="2" xfId="0" applyNumberFormat="1" applyFont="1" applyFill="1" applyBorder="1" applyAlignment="1">
      <x:alignment horizontal="left" vertical="center"/>
    </x:xf>
    <x:xf numFmtId="49" fontId="0" fillId="0" borderId="2" xfId="0" applyNumberFormat="1" applyFont="1" applyFill="1" applyBorder="1" applyAlignment="1">
      <x:alignment horizontal="left" vertical="center"/>
    </x:xf>
    <x:xf numFmtId="49" fontId="0" fillId="2" borderId="2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6" fillId="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5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4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4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3" xfId="0" applyNumberFormat="1" applyFill="1" applyBorder="1" applyAlignment="1">
          <x:alignment horizontal="center" vertical="center"/>
        </x:xf>
      </mc:Fallback>
    </mc:AlternateContent>
    <x:xf numFmtId="0" fontId="11" fillId="0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5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9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4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4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0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0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4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4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1" fillId="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1" fillId="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5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4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4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9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9" borderId="21" xfId="0" applyNumberFormat="1" applyFont="1" applyFill="1" applyBorder="1" applyAlignment="1">
          <x:alignment horizontal="center" vertical="center"/>
        </x:xf>
      </mc:Fallback>
    </mc:AlternateContent>
    <x:xf numFmtId="0" fontId="0" fillId="2" borderId="10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Border="1" applyAlignment="1">
          <x:alignment horizontal="center" vertical="center"/>
        </x:xf>
      </mc:Fallback>
    </mc:AlternateContent>
    <x:xf numFmtId="0" fontId="0" fillId="2" borderId="57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9" borderId="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5" fillId="9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5" fillId="9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5" fillId="9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5" fillId="9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" xfId="0" applyNumberFormat="1" applyFont="1" applyFill="1" applyBorder="1" applyAlignment="1" applyProtection="1">
          <x:alignment horizontal="center" vertical="center"/>
        </x:xf>
      </mc:Fallback>
    </mc:AlternateContent>
    <x:xf numFmtId="0" fontId="26" fillId="2" borderId="101" xfId="0" applyNumberFormat="1" applyFont="1" applyFill="1" applyBorder="1" applyAlignment="1" applyProtection="1">
      <x:alignment horizontal="left" vertical="center"/>
    </x:xf>
    <x:xf numFmtId="0" fontId="26" fillId="2" borderId="10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5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54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center" wrapText="1"/>
    </x:xf>
    <x:xf numFmtId="0" fontId="0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8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8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8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8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4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4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1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6" borderId="15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5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5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6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69" xfId="0" applyNumberFormat="1" applyFill="1" applyBorder="1" applyAlignment="1">
          <x:alignment horizontal="center" vertical="center"/>
        </x:xf>
      </mc:Fallback>
    </mc:AlternateContent>
    <x:xf numFmtId="0" fontId="0" fillId="2" borderId="18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6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9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9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5" xfId="0" applyNumberFormat="1" applyFill="1" applyBorder="1" applyAlignment="1">
          <x:alignment horizontal="center" vertical="center"/>
        </x:xf>
      </mc:Fallback>
    </mc:AlternateContent>
    <x:xf numFmtId="0" fontId="22" fillId="0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0" fillId="2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3" fillId="2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3" fillId="2" borderId="59" xfId="0" applyNumberFormat="1" applyFont="1" applyFill="1" applyBorder="1" applyAlignment="1">
          <x:alignment horizontal="center" vertical="center"/>
        </x:xf>
      </mc:Fallback>
    </mc:AlternateContent>
    <x:xf numFmtId="0" fontId="7" fillId="0" borderId="0" xfId="0" applyFont="1">
      <x:alignment horizontal="general" vertical="center"/>
    </x:xf>
    <x:xf numFmtId="0" fontId="7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4" fillId="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4" fillId="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8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8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5" borderId="1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5" borderId="1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6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6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6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6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7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7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7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7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7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7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6" fillId="0" borderId="9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0" borderId="9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6" fillId="0" borderId="1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0" borderId="172" xfId="0" applyNumberFormat="1" applyFont="1" applyFill="1" applyBorder="1" applyAlignment="1">
          <x:alignment horizontal="center" vertical="center"/>
        </x:xf>
      </mc:Fallback>
    </mc:AlternateContent>
    <x:xf numFmtId="0" fontId="16" fillId="0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7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7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9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9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8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8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" xfId="0" applyNumberFormat="1" applyFill="1" applyBorder="1" applyAlignment="1">
          <x:alignment horizontal="center" vertical="center"/>
        </x:xf>
      </mc:Fallback>
    </mc:AlternateContent>
    <x:xf numFmtId="0" fontId="0" fillId="0" borderId="57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ill="1" applyBorder="1" applyAlignment="1">
          <x:alignment horizontal="center" vertical="center"/>
        </x:xf>
      </mc:Fallback>
    </mc:AlternateContent>
    <x:xf numFmtId="49" fontId="0" fillId="0" borderId="57" xfId="0" applyNumberFormat="1" applyFill="1" applyBorder="1" applyAlignment="1">
      <x:alignment horizontal="left" vertical="center"/>
    </x:xf>
    <x:xf numFmtId="0" fontId="0" fillId="0" borderId="57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25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5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6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6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6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6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5" fillId="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5" fillId="0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7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7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9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9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9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9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5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5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9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9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5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5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0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0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8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8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6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6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6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6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6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7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7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17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7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0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00" xfId="0" applyNumberFormat="1" applyFill="1" applyBorder="1" applyAlignment="1">
          <x:alignment horizontal="center" vertical="center"/>
        </x:xf>
      </mc:Fallback>
    </mc:AlternateContent>
    <x:xf numFmtId="0" fontId="0" fillId="2" borderId="22" xfId="0" applyNumberFormat="1" applyFill="1" applyBorder="1" applyAlignment="1">
      <x:alignment horizontal="left" vertical="center"/>
    </x:xf>
    <x:xf numFmtId="0" fontId="0" fillId="2" borderId="3" xfId="0" applyNumberFormat="1" applyFill="1" applyBorder="1" applyAlignment="1">
      <x:alignment horizontal="left" vertical="center"/>
    </x:xf>
    <x:xf numFmtId="0" fontId="0" fillId="2" borderId="23" xfId="0" applyNumberFormat="1" applyFill="1" applyBorder="1" applyAlignment="1">
      <x:alignment horizontal="left" vertical="center"/>
    </x:xf>
    <x:xf numFmtId="0" fontId="0" fillId="2" borderId="7" xfId="0" applyNumberFormat="1" applyFill="1" applyBorder="1" applyAlignment="1">
      <x:alignment horizontal="left" vertical="center"/>
    </x:xf>
    <x:xf numFmtId="0" fontId="0" fillId="2" borderId="2" xfId="0" applyNumberFormat="1" applyFill="1" applyBorder="1" applyAlignment="1">
      <x:alignment horizontal="left" vertical="center"/>
    </x:xf>
    <x:xf numFmtId="0" fontId="0" fillId="2" borderId="24" xfId="0" applyNumberFormat="1" applyFill="1" applyBorder="1" applyAlignment="1">
      <x:alignment horizontal="left" vertical="center"/>
    </x:xf>
    <x:xf numFmtId="0" fontId="0" fillId="2" borderId="39" xfId="0" applyNumberFormat="1" applyFill="1" applyBorder="1" applyAlignment="1">
      <x:alignment horizontal="left" vertical="center"/>
    </x:xf>
    <x:xf numFmtId="0" fontId="0" fillId="2" borderId="5" xfId="0" applyNumberFormat="1" applyFill="1" applyBorder="1" applyAlignment="1">
      <x:alignment horizontal="left" vertical="center"/>
    </x:xf>
    <x:xf numFmtId="0" fontId="0" fillId="2" borderId="40" xfId="0" applyNumberFormat="1" applyFill="1" applyBorder="1" applyAlignment="1">
      <x:alignment horizontal="left" vertical="center"/>
    </x:xf>
    <x:xf numFmtId="0" fontId="0" fillId="2" borderId="9" xfId="0" applyNumberFormat="1" applyFill="1" applyBorder="1" applyAlignment="1">
      <x:alignment horizontal="left" vertical="center"/>
    </x:xf>
    <x:xf numFmtId="0" fontId="0" fillId="2" borderId="4" xfId="0" applyNumberFormat="1" applyFill="1" applyBorder="1" applyAlignment="1">
      <x:alignment horizontal="left" vertical="center"/>
    </x:xf>
    <x:xf numFmtId="0" fontId="0" fillId="2" borderId="21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4" borderId="17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7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7" fillId="1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7" fillId="1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6" fillId="1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1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6" fillId="12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12" borderId="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39" xfId="0" applyNumberFormat="1" applyFill="1" applyBorder="1" applyAlignment="1">
      <x:alignment horizontal="left" vertical="center"/>
    </x:xf>
    <x:xf numFmtId="0" fontId="0" fillId="0" borderId="5" xfId="0" applyNumberFormat="1" applyFill="1" applyBorder="1" applyAlignment="1">
      <x:alignment horizontal="left" vertical="center"/>
    </x:xf>
    <x:xf numFmtId="0" fontId="0" fillId="0" borderId="40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28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8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8" fillId="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8" fillId="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9" borderId="6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9" borderId="6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1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13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4" borderId="1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4" borderId="1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27" fillId="12" borderId="17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27" fillId="12" borderId="17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6" fillId="12" borderId="3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6" fillId="12" borderId="3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2" borderId="31" xfId="0" applyNumberFormat="1" applyFill="1" applyBorder="1" applyAlignment="1">
      <x:alignment horizontal="left" vertical="center"/>
    </x:xf>
    <x:xf numFmtId="0" fontId="0" fillId="2" borderId="6" xfId="0" applyNumberFormat="1" applyFill="1" applyBorder="1" applyAlignment="1">
      <x:alignment horizontal="left" vertical="center"/>
    </x:xf>
    <x:xf numFmtId="0" fontId="0" fillId="2" borderId="32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7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9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95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9" xfId="0" applyNumberFormat="1" applyFont="1" applyFill="1" applyBorder="1" applyAlignment="1" applyProtection="1">
      <x:alignment horizontal="left" vertical="center"/>
    </x:xf>
    <x:xf numFmtId="0" fontId="0" fillId="0" borderId="4" xfId="0" applyNumberFormat="1" applyFont="1" applyFill="1" applyBorder="1" applyAlignment="1" applyProtection="1">
      <x:alignment horizontal="left" vertical="center"/>
    </x:xf>
    <x:xf numFmtId="0" fontId="0" fillId="0" borderId="21" xfId="0" applyNumberFormat="1" applyFont="1" applyFill="1" applyBorder="1" applyAlignment="1" applyProtection="1">
      <x:alignment horizontal="left" vertical="center"/>
    </x:xf>
    <x:xf numFmtId="0" fontId="0" fillId="2" borderId="177" xfId="0" applyNumberFormat="1" applyFont="1" applyFill="1" applyBorder="1" applyAlignment="1" applyProtection="1">
      <x:alignment horizontal="left" vertical="center"/>
    </x:xf>
    <x:xf numFmtId="0" fontId="26" fillId="2" borderId="177" xfId="0" applyNumberFormat="1" applyFont="1" applyFill="1" applyBorder="1" applyAlignment="1" applyProtection="1">
      <x:alignment horizontal="left" vertical="center"/>
    </x:xf>
    <x:xf numFmtId="0" fontId="26" fillId="2" borderId="178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4" fillId="8" borderId="1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1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18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18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18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18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5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5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8" borderId="18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8" borderId="18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30" fillId="4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30" fillId="4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30" fillId="4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30" fillId="4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30" fillId="4" borderId="8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30" fillId="4" borderId="8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7" xfId="0" applyNumberFormat="1" applyFont="1" applyFill="1" applyBorder="1" applyAlignment="1" applyProtection="1">
      <x:alignment horizontal="left" vertical="center"/>
    </x:xf>
    <x:xf numFmtId="0" fontId="0" fillId="2" borderId="2" xfId="0" applyNumberFormat="1" applyFont="1" applyFill="1" applyBorder="1" applyAlignment="1" applyProtection="1">
      <x:alignment horizontal="left" vertical="center"/>
    </x:xf>
    <x:xf numFmtId="0" fontId="0" fillId="2" borderId="24" xfId="0" applyNumberFormat="1" applyFont="1" applyFill="1" applyBorder="1" applyAlignment="1" applyProtection="1">
      <x:alignment horizontal="left" vertical="center"/>
    </x:xf>
    <x:xf numFmtId="0" fontId="0" fillId="2" borderId="39" xfId="0" applyNumberFormat="1" applyFont="1" applyFill="1" applyBorder="1" applyAlignment="1" applyProtection="1">
      <x:alignment horizontal="left" vertical="center"/>
    </x:xf>
    <x:xf numFmtId="0" fontId="0" fillId="2" borderId="5" xfId="0" applyNumberFormat="1" applyFont="1" applyFill="1" applyBorder="1" applyAlignment="1" applyProtection="1">
      <x:alignment horizontal="left" vertical="center"/>
    </x:xf>
    <x:xf numFmtId="0" fontId="0" fillId="2" borderId="40" xfId="0" applyNumberFormat="1" applyFont="1" applyFill="1" applyBorder="1" applyAlignment="1" applyProtection="1">
      <x:alignment horizontal="left" vertical="center"/>
    </x:xf>
    <x:xf numFmtId="0" fontId="0" fillId="2" borderId="175" xfId="0" applyNumberFormat="1" applyFill="1" applyBorder="1" applyAlignment="1">
      <x:alignment horizontal="left" vertical="center"/>
    </x:xf>
    <x:xf numFmtId="0" fontId="0" fillId="2" borderId="177" xfId="0" applyNumberFormat="1" applyFill="1" applyBorder="1" applyAlignment="1">
      <x:alignment horizontal="left" vertical="center"/>
    </x:xf>
    <x:xf numFmtId="0" fontId="0" fillId="2" borderId="178" xfId="0" applyNumberFormat="1" applyFill="1" applyBorder="1" applyAlignment="1">
      <x:alignment horizontal="left" vertical="center"/>
    </x:xf>
    <x:xf numFmtId="0" fontId="0" fillId="0" borderId="9" xfId="0" applyNumberFormat="1" applyFill="1" applyBorder="1" applyAlignment="1">
      <x:alignment horizontal="left" vertical="center"/>
    </x:xf>
    <x:xf numFmtId="0" fontId="0" fillId="0" borderId="4" xfId="0" applyNumberFormat="1" applyFill="1" applyBorder="1" applyAlignment="1">
      <x:alignment horizontal="left" vertical="center"/>
    </x:xf>
    <x:xf numFmtId="0" fontId="0" fillId="0" borderId="21" xfId="0" applyNumberFormat="1" applyFill="1" applyBorder="1" applyAlignment="1">
      <x:alignment horizontal="left" vertical="center"/>
    </x:xf>
    <x:xf numFmtId="0" fontId="0" fillId="2" borderId="100" xfId="0" applyNumberFormat="1" applyFont="1" applyFill="1" applyBorder="1" applyAlignment="1" applyProtection="1">
      <x:alignment horizontal="left" vertical="center"/>
    </x:xf>
    <x:xf numFmtId="0" fontId="0" fillId="2" borderId="101" xfId="0" applyNumberFormat="1" applyFont="1" applyFill="1" applyBorder="1" applyAlignment="1" applyProtection="1">
      <x:alignment horizontal="left" vertical="center"/>
    </x:xf>
    <x:xf numFmtId="0" fontId="0" fillId="2" borderId="10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9" xfId="0" applyNumberFormat="1" applyFill="1" applyBorder="1" applyAlignment="1">
          <x:alignment horizontal="center" vertical="center"/>
        </x:xf>
      </mc:Fallback>
    </mc:AlternateContent>
    <x:xf numFmtId="0" fontId="0" fillId="2" borderId="183" xfId="0" applyNumberFormat="1" applyFill="1" applyBorder="1" applyAlignment="1">
      <x:alignment horizontal="left" vertical="center"/>
    </x:xf>
    <x:xf numFmtId="0" fontId="0" fillId="2" borderId="184" xfId="0" applyNumberFormat="1" applyFill="1" applyBorder="1" applyAlignment="1">
      <x:alignment horizontal="left" vertical="center"/>
    </x:xf>
    <x:xf numFmtId="0" fontId="0" fillId="2" borderId="185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2" borderId="52" xfId="0" applyNumberFormat="1" applyFill="1" applyBorder="1" applyAlignment="1">
      <x:alignment horizontal="left" vertical="center"/>
    </x:xf>
    <x:xf numFmtId="0" fontId="0" fillId="2" borderId="53" xfId="0" applyNumberFormat="1" applyFill="1" applyBorder="1" applyAlignment="1">
      <x:alignment horizontal="left" vertical="center"/>
    </x:xf>
    <x:xf numFmtId="0" fontId="0" fillId="2" borderId="50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9" borderId="17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76" xfId="0" applyNumberFormat="1" applyFill="1" applyBorder="1" applyAlignment="1">
          <x:alignment horizontal="center" vertical="center"/>
        </x:xf>
      </mc:Fallback>
    </mc:AlternateContent>
    <x:xf numFmtId="0" fontId="0" fillId="2" borderId="22" xfId="0" applyNumberFormat="1" applyFont="1" applyFill="1" applyBorder="1" applyAlignment="1" applyProtection="1">
      <x:alignment horizontal="left" vertical="center"/>
    </x:xf>
    <x:xf numFmtId="0" fontId="0" fillId="2" borderId="3" xfId="0" applyNumberFormat="1" applyFont="1" applyFill="1" applyBorder="1" applyAlignment="1" applyProtection="1">
      <x:alignment horizontal="left" vertical="center"/>
    </x:xf>
    <x:xf numFmtId="0" fontId="0" fillId="2" borderId="2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20" fontId="0" fillId="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7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7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7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7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12" xfId="0" applyNumberFormat="1" applyFill="1" applyBorder="1" applyAlignment="1">
      <x:alignment horizontal="left" vertical="center"/>
    </x:xf>
    <x:xf numFmtId="0" fontId="0" fillId="2" borderId="11" xfId="0" applyNumberFormat="1" applyFill="1" applyBorder="1" applyAlignment="1">
      <x:alignment horizontal="left" vertical="center"/>
    </x:xf>
    <x:xf numFmtId="0" fontId="0" fillId="2" borderId="10" xfId="0" applyNumberFormat="1" applyFill="1" applyBorder="1" applyAlignment="1">
      <x:alignment horizontal="left" vertical="center"/>
    </x:xf>
    <x:xf numFmtId="0" fontId="0" fillId="2" borderId="83" xfId="0" applyNumberFormat="1" applyFill="1" applyBorder="1" applyAlignment="1">
      <x:alignment horizontal="left" vertical="center"/>
    </x:xf>
    <x:xf numFmtId="0" fontId="0" fillId="2" borderId="82" xfId="0" applyNumberFormat="1" applyFill="1" applyBorder="1" applyAlignment="1">
      <x:alignment horizontal="left" vertical="center"/>
    </x:xf>
    <x:xf numFmtId="0" fontId="0" fillId="2" borderId="186" xfId="0" applyNumberFormat="1" applyFill="1" applyBorder="1" applyAlignment="1">
      <x:alignment horizontal="left" vertical="center"/>
    </x:xf>
    <x:xf numFmtId="0" fontId="0" fillId="2" borderId="9" xfId="0" applyNumberFormat="1" applyFont="1" applyFill="1" applyBorder="1" applyAlignment="1" applyProtection="1">
      <x:alignment horizontal="general" vertical="center"/>
    </x:xf>
    <x:xf numFmtId="0" fontId="0" fillId="2" borderId="4" xfId="0" applyNumberFormat="1" applyFont="1" applyFill="1" applyBorder="1" applyAlignment="1" applyProtection="1">
      <x:alignment horizontal="general" vertical="center"/>
    </x:xf>
    <x:xf numFmtId="0" fontId="0" fillId="2" borderId="2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31" fillId="0" borderId="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0" borderId="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7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7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8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8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8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8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8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8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8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7" xfId="0" applyNumberFormat="1" applyFill="1" applyBorder="1" applyAlignment="1">
      <x:alignment horizontal="left" vertical="center"/>
    </x:xf>
    <x:xf numFmtId="0" fontId="0" fillId="0" borderId="2" xfId="0" applyNumberFormat="1" applyFill="1" applyBorder="1" applyAlignment="1">
      <x:alignment horizontal="left" vertical="center"/>
    </x:xf>
    <x:xf numFmtId="0" fontId="0" fillId="0" borderId="24" xfId="0" applyNumberFormat="1" applyFill="1" applyBorder="1" applyAlignment="1">
      <x:alignment horizontal="left" vertical="center"/>
    </x:xf>
    <x:xf numFmtId="0" fontId="0" fillId="2" borderId="106" xfId="0" applyNumberFormat="1" applyFill="1" applyBorder="1" applyAlignment="1">
      <x:alignment horizontal="left" vertical="center"/>
    </x:xf>
    <x:xf numFmtId="0" fontId="0" fillId="2" borderId="33" xfId="0" applyNumberFormat="1" applyFill="1" applyBorder="1" applyAlignment="1">
      <x:alignment horizontal="left" vertical="center"/>
    </x:xf>
    <x:xf numFmtId="0" fontId="0" fillId="2" borderId="37" xfId="0" applyNumberFormat="1" applyFill="1" applyBorder="1" applyAlignment="1">
      <x:alignment horizontal="left" vertical="center"/>
    </x:xf>
    <x:xf numFmtId="0" fontId="0" fillId="2" borderId="38" xfId="0" applyNumberFormat="1" applyFill="1" applyBorder="1" applyAlignment="1">
      <x:alignment horizontal="left" vertical="center"/>
    </x:xf>
    <x:xf numFmtId="0" fontId="0" fillId="2" borderId="187" xfId="0" applyNumberFormat="1" applyFill="1" applyBorder="1" applyAlignment="1">
      <x:alignment horizontal="left" vertical="center"/>
    </x:xf>
    <x:xf numFmtId="0" fontId="0" fillId="2" borderId="188" xfId="0" applyNumberFormat="1" applyFill="1" applyBorder="1" applyAlignment="1">
      <x:alignment horizontal="left" vertical="center"/>
    </x:xf>
    <x:xf numFmtId="0" fontId="0" fillId="2" borderId="189" xfId="0" applyNumberFormat="1" applyFill="1" applyBorder="1" applyAlignment="1">
      <x:alignment horizontal="left" vertical="center"/>
    </x:xf>
    <x:xf numFmtId="0" fontId="0" fillId="2" borderId="19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20" fontId="0" fillId="4" borderId="19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9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19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9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19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9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9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9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32" fillId="12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32" fillId="12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12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12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12" borderId="7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12" borderId="7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39" xfId="0" applyNumberFormat="1" applyFont="1" applyFill="1" applyBorder="1" applyAlignment="1" applyProtection="1">
      <x:alignment horizontal="left" vertical="center"/>
    </x:xf>
    <x:xf numFmtId="0" fontId="0" fillId="0" borderId="5" xfId="0" applyNumberFormat="1" applyFont="1" applyFill="1" applyBorder="1" applyAlignment="1" applyProtection="1">
      <x:alignment horizontal="left" vertical="center"/>
    </x:xf>
    <x:xf numFmtId="0" fontId="0" fillId="0" borderId="40" xfId="0" applyNumberFormat="1" applyFont="1" applyFill="1" applyBorder="1" applyAlignment="1" applyProtection="1">
      <x:alignment horizontal="left" vertical="center"/>
    </x:xf>
    <x:xf numFmtId="0" fontId="0" fillId="2" borderId="8" xfId="0" applyNumberFormat="1" applyFill="1" applyBorder="1" applyAlignment="1">
      <x:alignment horizontal="left" vertical="center"/>
    </x:xf>
    <x:xf numFmtId="0" fontId="0" fillId="2" borderId="1" xfId="0" applyNumberFormat="1" applyFill="1" applyBorder="1" applyAlignment="1">
      <x:alignment horizontal="left" vertical="center"/>
    </x:xf>
    <x:xf numFmtId="0" fontId="0" fillId="2" borderId="20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2" fillId="1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3" fillId="1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1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12" borderId="7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7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12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2" borderId="9" xfId="0" applyNumberFormat="1" applyFont="1" applyFill="1" applyBorder="1" applyAlignment="1" applyProtection="1">
      <x:alignment horizontal="left" vertical="center"/>
    </x:xf>
    <x:xf numFmtId="0" fontId="0" fillId="2" borderId="4" xfId="0" applyNumberFormat="1" applyFont="1" applyFill="1" applyBorder="1" applyAlignment="1" applyProtection="1">
      <x:alignment horizontal="left" vertical="center"/>
    </x:xf>
    <x:xf numFmtId="0" fontId="0" fillId="2" borderId="21" xfId="0" applyNumberFormat="1" applyFont="1" applyFill="1" applyBorder="1" applyAlignment="1" applyProtection="1">
      <x:alignment horizontal="left" vertical="center"/>
    </x:xf>
    <x:xf numFmtId="0" fontId="0" fillId="2" borderId="100" xfId="0" applyNumberFormat="1" applyFont="1" applyFill="1" applyBorder="1" applyAlignment="1" applyProtection="1">
      <x:alignment horizontal="general" vertical="center"/>
    </x:xf>
    <x:xf numFmtId="0" fontId="0" fillId="2" borderId="101" xfId="0" applyNumberFormat="1" applyFont="1" applyFill="1" applyBorder="1" applyAlignment="1" applyProtection="1">
      <x:alignment horizontal="general" vertical="center"/>
    </x:xf>
    <x:xf numFmtId="0" fontId="0" fillId="2" borderId="102" xfId="0" applyNumberFormat="1" applyFont="1" applyFill="1" applyBorder="1" applyAlignment="1" applyProtection="1">
      <x:alignment horizontal="general" vertical="center"/>
    </x:xf>
    <x:xf numFmtId="0" fontId="0" fillId="0" borderId="22" xfId="0" applyNumberFormat="1" applyFill="1" applyBorder="1" applyAlignment="1">
      <x:alignment horizontal="left" vertical="center"/>
    </x:xf>
    <x:xf numFmtId="0" fontId="0" fillId="0" borderId="3" xfId="0" applyNumberFormat="1" applyFill="1" applyBorder="1" applyAlignment="1">
      <x:alignment horizontal="left" vertical="center"/>
    </x:xf>
    <x:xf numFmtId="0" fontId="0" fillId="0" borderId="23" xfId="0" applyNumberFormat="1" applyFill="1" applyBorder="1" applyAlignment="1">
      <x:alignment horizontal="left" vertical="center"/>
    </x:xf>
    <x:xf numFmtId="0" fontId="11" fillId="0" borderId="7" xfId="0" applyNumberFormat="1" applyFont="1" applyFill="1" applyBorder="1" applyAlignment="1">
      <x:alignment horizontal="left" vertical="center"/>
    </x:xf>
    <x:xf numFmtId="0" fontId="11" fillId="0" borderId="2" xfId="0" applyNumberFormat="1" applyFont="1" applyFill="1" applyBorder="1" applyAlignment="1">
      <x:alignment horizontal="left" vertical="center"/>
    </x:xf>
    <x:xf numFmtId="0" fontId="11" fillId="0" borderId="24" xfId="0" applyNumberFormat="1" applyFont="1" applyFill="1" applyBorder="1" applyAlignment="1">
      <x:alignment horizontal="left" vertical="center"/>
    </x:xf>
    <x:xf numFmtId="0" fontId="0" fillId="2" borderId="83" xfId="0" applyNumberFormat="1" applyFont="1" applyFill="1" applyBorder="1" applyAlignment="1" applyProtection="1">
      <x:alignment horizontal="left" vertical="center"/>
    </x:xf>
    <x:xf numFmtId="0" fontId="0" fillId="2" borderId="82" xfId="0" applyNumberFormat="1" applyFont="1" applyFill="1" applyBorder="1" applyAlignment="1" applyProtection="1">
      <x:alignment horizontal="left" vertical="center"/>
    </x:xf>
    <x:xf numFmtId="0" fontId="0" fillId="2" borderId="186" xfId="0" applyNumberFormat="1" applyFont="1" applyFill="1" applyBorder="1" applyAlignment="1" applyProtection="1">
      <x:alignment horizontal="left" vertical="center"/>
    </x:xf>
    <x:xf numFmtId="0" fontId="34" fillId="2" borderId="7" xfId="0" applyNumberFormat="1" applyFont="1" applyFill="1" applyBorder="1" applyAlignment="1">
      <x:alignment horizontal="left" vertical="center"/>
    </x:xf>
    <x:xf numFmtId="0" fontId="34" fillId="2" borderId="2" xfId="0" applyNumberFormat="1" applyFont="1" applyFill="1" applyBorder="1" applyAlignment="1">
      <x:alignment horizontal="left" vertical="center"/>
    </x:xf>
    <x:xf numFmtId="0" fontId="34" fillId="2" borderId="24" xfId="0" applyNumberFormat="1" applyFont="1" applyFill="1" applyBorder="1" applyAlignment="1">
      <x:alignment horizontal="left" vertical="center"/>
    </x:xf>
    <x:xf numFmtId="0" fontId="0" fillId="2" borderId="120" xfId="0" applyNumberFormat="1" applyFill="1" applyBorder="1" applyAlignment="1">
      <x:alignment horizontal="left" vertical="center"/>
    </x:xf>
    <x:xf numFmtId="0" fontId="0" fillId="2" borderId="31" xfId="0" applyNumberFormat="1" applyFont="1" applyFill="1" applyBorder="1" applyAlignment="1" applyProtection="1">
      <x:alignment horizontal="left" vertical="center"/>
    </x:xf>
    <x:xf numFmtId="0" fontId="0" fillId="2" borderId="6" xfId="0" applyNumberFormat="1" applyFont="1" applyFill="1" applyBorder="1" applyAlignment="1" applyProtection="1">
      <x:alignment horizontal="left" vertical="center"/>
    </x:xf>
    <x:xf numFmtId="0" fontId="0" fillId="2" borderId="3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4" borderId="19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9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4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49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22" xfId="0" applyNumberFormat="1" applyFill="1" applyBorder="1" applyAlignment="1">
      <x:alignment horizontal="left" vertical="center" wrapText="1"/>
    </x:xf>
    <x:xf numFmtId="0" fontId="22" fillId="2" borderId="22" xfId="0" applyNumberFormat="1" applyFont="1" applyFill="1" applyBorder="1" applyAlignment="1">
      <x:alignment horizontal="left" vertical="center"/>
    </x:xf>
    <x:xf numFmtId="0" fontId="22" fillId="2" borderId="3" xfId="0" applyNumberFormat="1" applyFont="1" applyFill="1" applyBorder="1" applyAlignment="1">
      <x:alignment horizontal="left" vertical="center"/>
    </x:xf>
    <x:xf numFmtId="0" fontId="22" fillId="2" borderId="23" xfId="0" applyNumberFormat="1" applyFont="1" applyFill="1" applyBorder="1" applyAlignment="1">
      <x:alignment horizontal="left" vertical="center"/>
    </x:xf>
    <x:xf numFmtId="0" fontId="22" fillId="2" borderId="7" xfId="0" applyNumberFormat="1" applyFont="1" applyFill="1" applyBorder="1" applyAlignment="1">
      <x:alignment horizontal="left" vertical="center"/>
    </x:xf>
    <x:xf numFmtId="0" fontId="22" fillId="2" borderId="2" xfId="0" applyNumberFormat="1" applyFont="1" applyFill="1" applyBorder="1" applyAlignment="1">
      <x:alignment horizontal="left" vertical="center"/>
    </x:xf>
    <x:xf numFmtId="0" fontId="22" fillId="2" borderId="24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2" fillId="1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1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1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1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12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12" borderId="14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144" xfId="0" applyNumberFormat="1" applyFont="1" applyFill="1" applyBorder="1" applyAlignment="1">
          <x:alignment horizontal="center" vertical="center" wrapText="1"/>
        </x:xf>
      </mc:Fallback>
    </mc:AlternateContent>
    <x:xf numFmtId="0" fontId="22" fillId="2" borderId="39" xfId="0" applyNumberFormat="1" applyFont="1" applyFill="1" applyBorder="1" applyAlignment="1" applyProtection="1">
      <x:alignment horizontal="left" vertical="center" wrapText="1"/>
    </x:xf>
    <x:xf numFmtId="0" fontId="22" fillId="2" borderId="5" xfId="0" applyNumberFormat="1" applyFont="1" applyFill="1" applyBorder="1" applyAlignment="1" applyProtection="1">
      <x:alignment horizontal="left" vertical="center"/>
    </x:xf>
    <x:xf numFmtId="0" fontId="22" fillId="2" borderId="40" xfId="0" applyNumberFormat="1" applyFont="1" applyFill="1" applyBorder="1" applyAlignment="1" applyProtection="1">
      <x:alignment horizontal="left" vertical="center"/>
    </x:xf>
    <x:xf numFmtId="0" fontId="22" fillId="2" borderId="31" xfId="0" applyNumberFormat="1" applyFont="1" applyFill="1" applyBorder="1" applyAlignment="1" applyProtection="1">
      <x:alignment horizontal="left" vertical="center"/>
    </x:xf>
    <x:xf numFmtId="0" fontId="22" fillId="2" borderId="6" xfId="0" applyNumberFormat="1" applyFont="1" applyFill="1" applyBorder="1" applyAlignment="1" applyProtection="1">
      <x:alignment horizontal="left" vertical="center"/>
    </x:xf>
    <x:xf numFmtId="0" fontId="22" fillId="2" borderId="3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2" fillId="12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12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12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12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12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12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17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17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18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18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8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8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18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18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8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8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15" borderId="18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15" borderId="18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81" xfId="0" applyNumberFormat="1" applyFont="1" applyFill="1" applyBorder="1" applyAlignment="1" applyProtection="1">
      <x:alignment horizontal="left" vertical="center"/>
    </x:xf>
    <x:xf numFmtId="0" fontId="0" fillId="0" borderId="57" xfId="0" applyNumberFormat="1" applyFont="1" applyFill="1" applyBorder="1" applyAlignment="1" applyProtection="1">
      <x:alignment horizontal="left" vertical="center"/>
    </x:xf>
    <x:xf numFmtId="0" fontId="0" fillId="0" borderId="182" xfId="0" applyNumberFormat="1" applyFont="1" applyFill="1" applyBorder="1" applyAlignment="1" applyProtection="1">
      <x:alignment horizontal="left" vertical="center"/>
    </x:xf>
    <x:xf numFmtId="0" fontId="0" fillId="0" borderId="195" xfId="0" applyNumberFormat="1" applyFill="1" applyBorder="1" applyAlignment="1">
      <x:alignment horizontal="left" vertical="center"/>
    </x:xf>
    <x:xf numFmtId="0" fontId="0" fillId="0" borderId="92" xfId="0" applyNumberFormat="1" applyFill="1" applyBorder="1" applyAlignment="1">
      <x:alignment horizontal="left" vertical="center"/>
    </x:xf>
    <x:xf numFmtId="0" fontId="0" fillId="0" borderId="196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20" fontId="0" fillId="4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9" fillId="12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9" fillId="12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9" fillId="12" borderId="5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9" fillId="12" borderId="5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99" xfId="0" applyNumberFormat="1" applyFont="1" applyFill="1" applyBorder="1" applyAlignment="1" applyProtection="1">
      <x:alignment horizontal="left" vertical="center"/>
    </x:xf>
    <x:xf numFmtId="0" fontId="0" fillId="2" borderId="197" xfId="0" applyNumberFormat="1" applyFont="1" applyFill="1" applyBorder="1" applyAlignment="1" applyProtection="1">
      <x:alignment horizontal="left" vertical="center"/>
    </x:xf>
    <x:xf numFmtId="0" fontId="0" fillId="2" borderId="198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20" fontId="17" fillId="4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7" fillId="4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7" fillId="4" borderId="5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7" fillId="4" borderId="5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7" fillId="4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7" fillId="4" borderId="1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22" fillId="0" borderId="7" xfId="0" applyNumberFormat="1" applyFont="1" applyFill="1" applyBorder="1" applyAlignment="1">
      <x:alignment horizontal="left" vertical="center"/>
    </x:xf>
    <x:xf numFmtId="0" fontId="22" fillId="0" borderId="2" xfId="0" applyNumberFormat="1" applyFont="1" applyFill="1" applyBorder="1" applyAlignment="1">
      <x:alignment horizontal="left" vertical="center"/>
    </x:xf>
    <x:xf numFmtId="0" fontId="22" fillId="0" borderId="24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 applyAlignment="1" applyProtection="1">
      <x:alignment horizontal="left" vertical="center"/>
    </x:xf>
    <x:xf numFmtId="0" fontId="0" fillId="0" borderId="2" xfId="0" applyNumberFormat="1" applyFont="1" applyFill="1" applyBorder="1" applyAlignment="1" applyProtection="1">
      <x:alignment horizontal="left" vertical="center"/>
    </x:xf>
    <x:xf numFmtId="0" fontId="0" fillId="0" borderId="24" xfId="0" applyNumberFormat="1" applyFont="1" applyFill="1" applyBorder="1" applyAlignment="1" applyProtection="1">
      <x:alignment horizontal="left" vertical="center"/>
    </x:xf>
    <x:xf numFmtId="0" fontId="34" fillId="2" borderId="57" xfId="0" applyNumberFormat="1" applyFont="1" applyFill="1" applyBorder="1" applyAlignment="1" applyProtection="1">
      <x:alignment horizontal="general" vertical="center"/>
    </x:xf>
    <x:xf numFmtId="0" fontId="0" fillId="0" borderId="199" xfId="0" applyNumberFormat="1" applyFont="1" applyFill="1" applyBorder="1" applyAlignment="1" applyProtection="1">
      <x:alignment horizontal="left" vertical="center"/>
    </x:xf>
    <x:xf numFmtId="0" fontId="0" fillId="0" borderId="200" xfId="0" applyNumberFormat="1" applyFont="1" applyFill="1" applyBorder="1" applyAlignment="1" applyProtection="1">
      <x:alignment horizontal="left" vertical="center"/>
    </x:xf>
    <x:xf numFmtId="0" fontId="0" fillId="0" borderId="201" xfId="0" applyNumberFormat="1" applyFont="1" applyFill="1" applyBorder="1" applyAlignment="1" applyProtection="1">
      <x:alignment horizontal="left" vertical="center"/>
    </x:xf>
    <x:xf numFmtId="0" fontId="0" fillId="0" borderId="202" xfId="0" applyNumberFormat="1" applyFont="1" applyFill="1" applyBorder="1" applyAlignment="1" applyProtection="1">
      <x:alignment horizontal="left" vertical="center"/>
    </x:xf>
    <x:xf numFmtId="0" fontId="0" fillId="0" borderId="126" xfId="0" applyNumberFormat="1" applyFont="1" applyFill="1" applyBorder="1" applyAlignment="1" applyProtection="1">
      <x:alignment horizontal="left" vertical="center"/>
    </x:xf>
    <x:xf numFmtId="0" fontId="0" fillId="0" borderId="20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5" borderId="17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7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17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17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7" fillId="12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7" fillId="12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7" fillId="12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7" fillId="12" borderId="7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36" fillId="2" borderId="22" xfId="0" applyNumberFormat="1" applyFont="1" applyFill="1" applyBorder="1" applyAlignment="1" applyProtection="1">
      <x:alignment horizontal="left" vertical="center"/>
    </x:xf>
    <x:xf numFmtId="0" fontId="36" fillId="2" borderId="3" xfId="0" applyNumberFormat="1" applyFont="1" applyFill="1" applyBorder="1" applyAlignment="1" applyProtection="1">
      <x:alignment horizontal="left" vertical="center"/>
    </x:xf>
    <x:xf numFmtId="0" fontId="36" fillId="2" borderId="23" xfId="0" applyNumberFormat="1" applyFont="1" applyFill="1" applyBorder="1" applyAlignment="1" applyProtection="1">
      <x:alignment horizontal="left" vertical="center"/>
    </x:xf>
    <x:xf numFmtId="0" fontId="0" fillId="0" borderId="8" xfId="0" applyNumberFormat="1" applyFill="1" applyBorder="1" applyAlignment="1">
      <x:alignment horizontal="left" vertical="center"/>
    </x:xf>
    <x:xf numFmtId="0" fontId="0" fillId="0" borderId="1" xfId="0" applyNumberFormat="1" applyFill="1" applyBorder="1" applyAlignment="1">
      <x:alignment horizontal="left" vertical="center"/>
    </x:xf>
    <x:xf numFmtId="0" fontId="0" fillId="0" borderId="20" xfId="0" applyNumberFormat="1" applyFill="1" applyBorder="1" applyAlignment="1">
      <x:alignment horizontal="left" vertical="center"/>
    </x:xf>
    <x:xf numFmtId="0" fontId="17" fillId="14" borderId="176" xfId="0" applyNumberFormat="1" applyFont="1" applyFill="1" applyBorder="1" applyAlignment="1">
      <x:alignment horizontal="left" vertical="center"/>
    </x:xf>
    <x:xf numFmtId="0" fontId="0" fillId="4" borderId="16" xfId="0" applyNumberFormat="1" applyFill="1" applyBorder="1" applyAlignment="1">
      <x:alignment horizontal="left" vertical="center"/>
    </x:xf>
    <x:xf numFmtId="0" fontId="0" fillId="4" borderId="6" xfId="0" applyNumberFormat="1" applyFill="1" applyBorder="1" applyAlignment="1">
      <x:alignment horizontal="left" vertical="center"/>
    </x:xf>
    <x:xf numFmtId="0" fontId="0" fillId="4" borderId="27" xfId="0" applyNumberFormat="1" applyFill="1" applyBorder="1" applyAlignment="1">
      <x:alignment horizontal="left" vertical="center"/>
    </x:xf>
    <x:xf numFmtId="0" fontId="0" fillId="4" borderId="60" xfId="0" applyNumberFormat="1" applyFill="1" applyBorder="1" applyAlignment="1">
      <x:alignment horizontal="left" vertical="center"/>
    </x:xf>
    <x:xf numFmtId="0" fontId="0" fillId="4" borderId="0" xfId="0" applyNumberFormat="1" applyFill="1" applyAlignment="1">
      <x:alignment horizontal="left" vertical="center"/>
    </x:xf>
    <x:xf numFmtId="0" fontId="0" fillId="4" borderId="63" xfId="0" applyNumberFormat="1" applyFill="1" applyBorder="1" applyAlignment="1">
      <x:alignment horizontal="left" vertical="center"/>
    </x:xf>
    <x:xf numFmtId="0" fontId="0" fillId="4" borderId="13" xfId="0" applyNumberFormat="1" applyFill="1" applyBorder="1" applyAlignment="1">
      <x:alignment horizontal="left" vertical="center"/>
    </x:xf>
    <x:xf numFmtId="0" fontId="0" fillId="4" borderId="176" xfId="0" applyNumberFormat="1" applyFill="1" applyBorder="1" applyAlignment="1">
      <x:alignment horizontal="left" vertical="center"/>
    </x:xf>
    <x:xf numFmtId="0" fontId="0" fillId="4" borderId="43" xfId="0" applyNumberFormat="1" applyFill="1" applyBorder="1" applyAlignment="1">
      <x:alignment horizontal="left" vertical="center"/>
    </x:xf>
    <x:xf numFmtId="0" fontId="0" fillId="0" borderId="27" xfId="0" applyNumberFormat="1" applyFont="1" applyFill="1" applyBorder="1" applyAlignment="1" applyProtection="1">
      <x:alignment horizontal="left" vertical="center"/>
    </x:xf>
    <x:xf numFmtId="0" fontId="0" fillId="0" borderId="1" xfId="0" applyNumberFormat="1" applyFont="1" applyFill="1" applyBorder="1" applyAlignment="1" applyProtection="1">
      <x:alignment horizontal="left" vertical="center"/>
    </x:xf>
    <x:xf numFmtId="0" fontId="0" fillId="0" borderId="20" xfId="0" applyNumberFormat="1" applyFont="1" applyFill="1" applyBorder="1" applyAlignment="1" applyProtection="1">
      <x:alignment horizontal="left" vertical="center"/>
    </x:xf>
    <x:xf numFmtId="0" fontId="0" fillId="2" borderId="43" xfId="0" applyNumberFormat="1" applyFont="1" applyFill="1" applyBorder="1" applyAlignment="1" applyProtection="1">
      <x:alignment horizontal="left" vertical="center"/>
    </x:xf>
    <x:xf numFmtId="0" fontId="0" fillId="2" borderId="11" xfId="0" applyNumberFormat="1" applyFont="1" applyFill="1" applyBorder="1" applyAlignment="1" applyProtection="1">
      <x:alignment horizontal="left" vertical="center"/>
    </x:xf>
    <x:xf numFmtId="0" fontId="0" fillId="2" borderId="10" xfId="0" applyNumberFormat="1" applyFont="1" applyFill="1" applyBorder="1" applyAlignment="1" applyProtection="1">
      <x:alignment horizontal="left" vertical="center"/>
    </x:xf>
    <x:xf numFmtId="0" fontId="7" fillId="2" borderId="45" xfId="0" applyNumberFormat="1" applyFont="1" applyFill="1" applyBorder="1" applyAlignment="1" applyProtection="1">
      <x:alignment horizontal="left" vertical="center"/>
    </x:xf>
    <x:xf numFmtId="0" fontId="26" fillId="2" borderId="2" xfId="0" applyNumberFormat="1" applyFont="1" applyFill="1" applyBorder="1" applyAlignment="1" applyProtection="1">
      <x:alignment horizontal="left" vertical="center"/>
    </x:xf>
    <x:xf numFmtId="0" fontId="26" fillId="2" borderId="24" xfId="0" applyNumberFormat="1" applyFont="1" applyFill="1" applyBorder="1" applyAlignment="1" applyProtection="1">
      <x:alignment horizontal="left" vertical="center"/>
    </x:xf>
    <x:xf numFmtId="0" fontId="26" fillId="2" borderId="5" xfId="0" applyNumberFormat="1" applyFont="1" applyFill="1" applyBorder="1" applyAlignment="1" applyProtection="1">
      <x:alignment horizontal="left" vertical="center"/>
    </x:xf>
    <x:xf numFmtId="0" fontId="26" fillId="2" borderId="40" xfId="0" applyNumberFormat="1" applyFont="1" applyFill="1" applyBorder="1" applyAlignment="1" applyProtection="1">
      <x:alignment horizontal="left" vertical="center"/>
    </x:xf>
    <x:xf numFmtId="0" fontId="16" fillId="0" borderId="77" xfId="0" applyNumberFormat="1" applyFont="1" applyFill="1" applyBorder="1" applyAlignment="1" applyProtection="1">
      <x:alignment horizontal="left" vertical="center"/>
    </x:xf>
    <x:xf numFmtId="0" fontId="16" fillId="0" borderId="89" xfId="0" applyNumberFormat="1" applyFont="1" applyFill="1" applyBorder="1" applyAlignment="1" applyProtection="1">
      <x:alignment horizontal="left" vertical="center"/>
    </x:xf>
    <x:xf numFmtId="0" fontId="16" fillId="0" borderId="204" xfId="0" applyNumberFormat="1" applyFont="1" applyFill="1" applyBorder="1" applyAlignment="1" applyProtection="1">
      <x:alignment horizontal="left" vertical="center"/>
    </x:xf>
    <x:xf numFmtId="0" fontId="37" fillId="2" borderId="7" xfId="0" applyNumberFormat="1" applyFont="1" applyFill="1" applyBorder="1" applyAlignment="1">
      <x:alignment horizontal="left" vertical="center"/>
    </x:xf>
    <x:xf numFmtId="0" fontId="37" fillId="2" borderId="2" xfId="0" applyNumberFormat="1" applyFont="1" applyFill="1" applyBorder="1" applyAlignment="1">
      <x:alignment horizontal="left" vertical="center"/>
    </x:xf>
    <x:xf numFmtId="0" fontId="37" fillId="2" borderId="24" xfId="0" applyNumberFormat="1" applyFont="1" applyFill="1" applyBorder="1" applyAlignment="1">
      <x:alignment horizontal="left" vertical="center"/>
    </x:xf>
    <x:xf numFmtId="0" fontId="37" fillId="2" borderId="22" xfId="0" applyNumberFormat="1" applyFont="1" applyFill="1" applyBorder="1" applyAlignment="1">
      <x:alignment horizontal="left" vertical="center"/>
    </x:xf>
    <x:xf numFmtId="0" fontId="37" fillId="2" borderId="3" xfId="0" applyNumberFormat="1" applyFont="1" applyFill="1" applyBorder="1" applyAlignment="1">
      <x:alignment horizontal="left" vertical="center"/>
    </x:xf>
    <x:xf numFmtId="0" fontId="37" fillId="2" borderId="23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2" xfId="0" applyNumberFormat="1" applyFont="1" applyFill="1" applyBorder="1" applyAlignment="1" applyProtection="1">
      <x:alignment horizontal="left" vertical="center"/>
    </x:xf>
    <x:xf numFmtId="0" fontId="0" fillId="0" borderId="3" xfId="0" applyNumberFormat="1" applyFont="1" applyFill="1" applyBorder="1" applyAlignment="1" applyProtection="1">
      <x:alignment horizontal="left" vertical="center"/>
    </x:xf>
    <x:xf numFmtId="0" fontId="0" fillId="0" borderId="2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8" fillId="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8" fillId="4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4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4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8" fillId="4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8" fillId="4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8" fillId="4" borderId="7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8" fillId="4" borderId="7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8" fillId="4" borderId="7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8" fillId="4" borderId="7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20" xfId="0" applyNumberFormat="1" applyFont="1" applyFill="1" applyBorder="1" applyAlignment="1" applyProtection="1">
      <x:alignment horizontal="left" vertical="center"/>
    </x:xf>
    <x:xf numFmtId="0" fontId="0" fillId="0" borderId="82" xfId="0" applyNumberFormat="1" applyFont="1" applyFill="1" applyBorder="1" applyAlignment="1" applyProtection="1">
      <x:alignment horizontal="left" vertical="center"/>
    </x:xf>
    <x:xf numFmtId="0" fontId="0" fillId="0" borderId="18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9" fillId="6" borderId="20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6" borderId="20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6" borderId="20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6" borderId="20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17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17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18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18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8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8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18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18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8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8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5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5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2" borderId="18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2" borderId="18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6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6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6" borderId="10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6" borderId="10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7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7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" borderId="7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" borderId="7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" borderId="1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" borderId="1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9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9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" borderId="9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" borderId="9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45" xfId="0" applyNumberForma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9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ff00"/>
              <x:bgColor rgb="ffff00ff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fgColor rgb="ffffff00"/>
              <x:bgColor rgb="ffff00ff"/>
            </x:patternFill>
          </x:fill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comments" Target="../comments3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4.vml"  /><Relationship Id="rId2" Type="http://schemas.openxmlformats.org/officeDocument/2006/relationships/comments" Target="../comments4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5.vml"  /><Relationship Id="rId2" Type="http://schemas.openxmlformats.org/officeDocument/2006/relationships/comments" Target="../comments5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6.vml"  /><Relationship Id="rId2" Type="http://schemas.openxmlformats.org/officeDocument/2006/relationships/comments" Target="../comments6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7.vml"  /><Relationship Id="rId2" Type="http://schemas.openxmlformats.org/officeDocument/2006/relationships/comments" Target="../comments7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8.vml"  /><Relationship Id="rId2" Type="http://schemas.openxmlformats.org/officeDocument/2006/relationships/comments" Target="../comments8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9.vml"  /><Relationship Id="rId2" Type="http://schemas.openxmlformats.org/officeDocument/2006/relationships/comments" Target="../comments9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0.vml"  /><Relationship Id="rId2" Type="http://schemas.openxmlformats.org/officeDocument/2006/relationships/comments" Target="../comments1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AU51"/>
  <x:sheetViews>
    <x:sheetView topLeftCell="A1" zoomScale="80" zoomScaleNormal="80" zoomScaleSheetLayoutView="75" workbookViewId="0">
      <x:pane xSplit="0" ySplit="4" topLeftCell="A17" activePane="bottomLeft" state="frozen"/>
      <x:selection pane="bottomLeft" activeCell="AF39" activeCellId="0" sqref="AF39:AF39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hidden="1" customWidth="1"/>
    <x:col min="6" max="8" width="5.375" style="40" hidden="1" customWidth="1"/>
    <x:col min="9" max="17" width="7.125" style="40" hidden="1" customWidth="1"/>
    <x:col min="18" max="18" width="7.125" style="538" hidden="1" customWidth="1"/>
    <x:col min="19" max="20" width="7.125" style="40" customWidth="1"/>
    <x:col min="21" max="21" width="7.125" style="41" customWidth="1"/>
    <x:col min="22" max="33" width="7.125" style="40" customWidth="1"/>
    <x:col min="34" max="38" width="7.125" style="40" hidden="1" customWidth="1"/>
    <x:col min="39" max="42" width="5.625" style="40" customWidth="1"/>
    <x:col min="44" max="44" width="10.5" style="40" customWidth="1"/>
  </x:cols>
  <x:sheetData>
    <x:row r="1" spans="1:44" ht="25.5" customHeight="1">
      <x:c r="A1" s="1046" t="s">
        <x:v>155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125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4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251</x:v>
      </x:c>
      <x:c r="J4" s="96" t="s">
        <x:v>293</x:v>
      </x:c>
      <x:c r="K4" s="96" t="s">
        <x:v>269</x:v>
      </x:c>
      <x:c r="L4" s="98" t="s">
        <x:v>245</x:v>
      </x:c>
      <x:c r="M4" s="95"/>
      <x:c r="N4" s="97" t="s">
        <x:v>304</x:v>
      </x:c>
      <x:c r="O4" s="96" t="s">
        <x:v>263</x:v>
      </x:c>
      <x:c r="P4" s="96" t="s">
        <x:v>288</x:v>
      </x:c>
      <x:c r="Q4" s="96" t="s">
        <x:v>227</x:v>
      </x:c>
      <x:c r="R4" s="539"/>
      <x:c r="S4" s="97" t="s">
        <x:v>243</x:v>
      </x:c>
      <x:c r="T4" s="96" t="s">
        <x:v>327</x:v>
      </x:c>
      <x:c r="U4" s="96" t="s">
        <x:v>233</x:v>
      </x:c>
      <x:c r="V4" s="96" t="s">
        <x:v>309</x:v>
      </x:c>
      <x:c r="W4" s="95" t="s">
        <x:v>232</x:v>
      </x:c>
      <x:c r="X4" s="132" t="s">
        <x:v>338</x:v>
      </x:c>
      <x:c r="Y4" s="96" t="s">
        <x:v>297</x:v>
      </x:c>
      <x:c r="Z4" s="96" t="s">
        <x:v>285</x:v>
      </x:c>
      <x:c r="AA4" s="96" t="s">
        <x:v>274</x:v>
      </x:c>
      <x:c r="AB4" s="95"/>
      <x:c r="AC4" s="97" t="s">
        <x:v>268</x:v>
      </x:c>
      <x:c r="AD4" s="96" t="s">
        <x:v>248</x:v>
      </x:c>
      <x:c r="AE4" s="96" t="s">
        <x:v>244</x:v>
      </x:c>
      <x:c r="AF4" s="96" t="s">
        <x:v>291</x:v>
      </x:c>
      <x:c r="AG4" s="95"/>
      <x:c r="AH4" s="97" t="s">
        <x:v>243</x:v>
      </x:c>
      <x:c r="AI4" s="96" t="s">
        <x:v>327</x:v>
      </x:c>
      <x:c r="AJ4" s="96" t="s">
        <x:v>233</x:v>
      </x:c>
      <x:c r="AK4" s="96" t="s">
        <x:v>309</x:v>
      </x:c>
      <x:c r="AL4" s="98" t="s">
        <x:v>232</x:v>
      </x:c>
      <x:c r="AM4" s="1072"/>
      <x:c r="AN4" s="1073"/>
      <x:c r="AO4" s="1073"/>
      <x:c r="AP4" s="1073"/>
      <x:c r="AQ4" s="1073"/>
      <x:c r="AR4" s="1074"/>
    </x:row>
    <x:row r="5" spans="1:44" ht="16.5" customHeight="1">
      <x:c r="A5" s="54"/>
      <x:c r="B5" s="83"/>
      <x:c r="C5" s="54"/>
      <x:c r="D5" s="54"/>
      <x:c r="E5" s="54"/>
      <x:c r="F5" s="54"/>
      <x:c r="G5" s="54"/>
      <x:c r="H5" s="54"/>
      <x:c r="I5" s="99"/>
      <x:c r="J5" s="99"/>
      <x:c r="K5" s="99"/>
      <x:c r="L5" s="99"/>
      <x:c r="M5" s="99"/>
      <x:c r="N5" s="105"/>
      <x:c r="O5" s="99"/>
      <x:c r="P5" s="105"/>
      <x:c r="Q5" s="99"/>
      <x:c r="R5" s="540"/>
      <x:c r="S5" s="99"/>
      <x:c r="T5" s="99"/>
      <x:c r="U5" s="99"/>
      <x:c r="V5" s="99"/>
      <x:c r="W5" s="99"/>
      <x:c r="X5" s="99"/>
      <x:c r="Y5" s="99"/>
      <x:c r="Z5" s="99"/>
      <x:c r="AA5" s="100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</x:row>
    <x:row r="6" spans="1:44" ht="16.5" customHeight="1">
      <x:c r="A6" s="1129">
        <x:v>0.083333333333333329</x:v>
      </x:c>
      <x:c r="B6" s="55"/>
      <x:c r="C6" s="55"/>
      <x:c r="D6" s="55"/>
      <x:c r="E6" s="51"/>
      <x:c r="F6" s="51"/>
      <x:c r="G6" s="51"/>
      <x:c r="H6" s="51"/>
      <x:c r="I6" s="123"/>
      <x:c r="J6" s="58"/>
      <x:c r="K6" s="58"/>
      <x:c r="L6" s="58"/>
      <x:c r="M6" s="134"/>
      <x:c r="N6" s="127"/>
      <x:c r="O6" s="58"/>
      <x:c r="P6" s="58"/>
      <x:c r="Q6" s="57"/>
      <x:c r="R6" s="541"/>
      <x:c r="S6" s="119"/>
      <x:c r="T6" s="57"/>
      <x:c r="U6" s="57"/>
      <x:c r="V6" s="57"/>
      <x:c r="W6" s="121"/>
      <x:c r="X6" s="141"/>
      <x:c r="Y6" s="57"/>
      <x:c r="Z6" s="57"/>
      <x:c r="AA6" s="57"/>
      <x:c r="AB6" s="138"/>
      <x:c r="AC6" s="119"/>
      <x:c r="AD6" s="57"/>
      <x:c r="AE6" s="57"/>
      <x:c r="AF6" s="57"/>
      <x:c r="AG6" s="138"/>
      <x:c r="AH6" s="57"/>
      <x:c r="AI6" s="57"/>
      <x:c r="AJ6" s="57"/>
      <x:c r="AK6" s="57"/>
      <x:c r="AL6" s="101"/>
      <x:c r="AM6" s="1026"/>
      <x:c r="AN6" s="1027"/>
      <x:c r="AO6" s="1027"/>
      <x:c r="AP6" s="1027"/>
      <x:c r="AQ6" s="1027"/>
      <x:c r="AR6" s="1028"/>
    </x:row>
    <x:row r="7" spans="1:44" ht="17.25" customHeight="1">
      <x:c r="A7" s="1116"/>
      <x:c r="B7" s="84"/>
      <x:c r="C7" s="71"/>
      <x:c r="D7" s="66"/>
      <x:c r="E7" s="44"/>
      <x:c r="F7" s="44"/>
      <x:c r="G7" s="44"/>
      <x:c r="H7" s="44"/>
      <x:c r="I7" s="125"/>
      <x:c r="J7" s="85"/>
      <x:c r="K7" s="85"/>
      <x:c r="L7" s="85"/>
      <x:c r="M7" s="135"/>
      <x:c r="N7" s="118"/>
      <x:c r="O7" s="72"/>
      <x:c r="P7" s="72"/>
      <x:c r="Q7" s="71"/>
      <x:c r="R7" s="542"/>
      <x:c r="S7" s="120"/>
      <x:c r="T7" s="71"/>
      <x:c r="U7" s="71"/>
      <x:c r="V7" s="71"/>
      <x:c r="W7" s="122"/>
      <x:c r="X7" s="142"/>
      <x:c r="Y7" s="71"/>
      <x:c r="Z7" s="71"/>
      <x:c r="AA7" s="71"/>
      <x:c r="AB7" s="139"/>
      <x:c r="AC7" s="120"/>
      <x:c r="AD7" s="71"/>
      <x:c r="AE7" s="71"/>
      <x:c r="AF7" s="71"/>
      <x:c r="AG7" s="139"/>
      <x:c r="AH7" s="71"/>
      <x:c r="AI7" s="71"/>
      <x:c r="AJ7" s="71"/>
      <x:c r="AK7" s="71"/>
      <x:c r="AL7" s="102"/>
      <x:c r="AM7" s="1029"/>
      <x:c r="AN7" s="1030"/>
      <x:c r="AO7" s="1030"/>
      <x:c r="AP7" s="1030"/>
      <x:c r="AQ7" s="1030"/>
      <x:c r="AR7" s="1031"/>
    </x:row>
    <x:row r="8" spans="1:44" ht="17.449999999999999" customHeight="1">
      <x:c r="A8" s="1116"/>
      <x:c r="B8" s="85"/>
      <x:c r="C8" s="71"/>
      <x:c r="D8" s="66"/>
      <x:c r="E8" s="44"/>
      <x:c r="F8" s="44"/>
      <x:c r="G8" s="44"/>
      <x:c r="H8" s="44"/>
      <x:c r="I8" s="125"/>
      <x:c r="J8" s="85"/>
      <x:c r="K8" s="85"/>
      <x:c r="L8" s="85"/>
      <x:c r="M8" s="135"/>
      <x:c r="N8" s="125"/>
      <x:c r="O8" s="85"/>
      <x:c r="P8" s="85"/>
      <x:c r="Q8" s="85"/>
      <x:c r="R8" s="542"/>
      <x:c r="S8" s="120"/>
      <x:c r="T8" s="71"/>
      <x:c r="U8" s="71"/>
      <x:c r="V8" s="71"/>
      <x:c r="W8" s="122"/>
      <x:c r="X8" s="142"/>
      <x:c r="Y8" s="71"/>
      <x:c r="Z8" s="71"/>
      <x:c r="AA8" s="71"/>
      <x:c r="AB8" s="139"/>
      <x:c r="AC8" s="120"/>
      <x:c r="AD8" s="71"/>
      <x:c r="AE8" s="71"/>
      <x:c r="AF8" s="71"/>
      <x:c r="AG8" s="139"/>
      <x:c r="AH8" s="71"/>
      <x:c r="AI8" s="71"/>
      <x:c r="AJ8" s="71"/>
      <x:c r="AK8" s="71"/>
      <x:c r="AL8" s="102"/>
      <x:c r="AM8" s="1029"/>
      <x:c r="AN8" s="1030"/>
      <x:c r="AO8" s="1030"/>
      <x:c r="AP8" s="1030"/>
      <x:c r="AQ8" s="1030"/>
      <x:c r="AR8" s="1031"/>
    </x:row>
    <x:row r="9" spans="1:44" ht="17.449999999999999" customHeight="1">
      <x:c r="A9" s="1130"/>
      <x:c r="B9" s="86"/>
      <x:c r="C9" s="60"/>
      <x:c r="D9" s="42"/>
      <x:c r="E9" s="47"/>
      <x:c r="F9" s="47"/>
      <x:c r="G9" s="47"/>
      <x:c r="H9" s="47"/>
      <x:c r="I9" s="125"/>
      <x:c r="J9" s="85"/>
      <x:c r="K9" s="85"/>
      <x:c r="L9" s="85"/>
      <x:c r="M9" s="135"/>
      <x:c r="N9" s="125"/>
      <x:c r="O9" s="85"/>
      <x:c r="P9" s="85"/>
      <x:c r="Q9" s="85"/>
      <x:c r="R9" s="542"/>
      <x:c r="S9" s="120"/>
      <x:c r="T9" s="71"/>
      <x:c r="U9" s="71"/>
      <x:c r="V9" s="71"/>
      <x:c r="W9" s="122"/>
      <x:c r="X9" s="142"/>
      <x:c r="Y9" s="71"/>
      <x:c r="Z9" s="71"/>
      <x:c r="AA9" s="71"/>
      <x:c r="AB9" s="139"/>
      <x:c r="AC9" s="120"/>
      <x:c r="AD9" s="71"/>
      <x:c r="AE9" s="71"/>
      <x:c r="AF9" s="71"/>
      <x:c r="AG9" s="139"/>
      <x:c r="AH9" s="71"/>
      <x:c r="AI9" s="71"/>
      <x:c r="AJ9" s="71"/>
      <x:c r="AK9" s="71"/>
      <x:c r="AL9" s="102"/>
      <x:c r="AM9" s="1029"/>
      <x:c r="AN9" s="1030"/>
      <x:c r="AO9" s="1030"/>
      <x:c r="AP9" s="1030"/>
      <x:c r="AQ9" s="1030"/>
      <x:c r="AR9" s="1031"/>
    </x:row>
    <x:row r="10" spans="1:44" ht="17.449999999999999" customHeight="1">
      <x:c r="A10" s="1130"/>
      <x:c r="B10" s="86"/>
      <x:c r="C10" s="60"/>
      <x:c r="D10" s="42"/>
      <x:c r="E10" s="47"/>
      <x:c r="F10" s="47"/>
      <x:c r="G10" s="47"/>
      <x:c r="H10" s="47"/>
      <x:c r="I10" s="128"/>
      <x:c r="J10" s="86"/>
      <x:c r="K10" s="86"/>
      <x:c r="L10" s="86"/>
      <x:c r="M10" s="136"/>
      <x:c r="N10" s="128"/>
      <x:c r="O10" s="86"/>
      <x:c r="P10" s="86"/>
      <x:c r="Q10" s="111"/>
      <x:c r="R10" s="543"/>
      <x:c r="S10" s="114"/>
      <x:c r="T10" s="77"/>
      <x:c r="U10" s="77"/>
      <x:c r="V10" s="77"/>
      <x:c r="W10" s="115"/>
      <x:c r="X10" s="143"/>
      <x:c r="Y10" s="77"/>
      <x:c r="Z10" s="77"/>
      <x:c r="AA10" s="77"/>
      <x:c r="AB10" s="140"/>
      <x:c r="AC10" s="114"/>
      <x:c r="AD10" s="77"/>
      <x:c r="AE10" s="77"/>
      <x:c r="AF10" s="77"/>
      <x:c r="AG10" s="140"/>
      <x:c r="AH10" s="77"/>
      <x:c r="AI10" s="77"/>
      <x:c r="AJ10" s="77"/>
      <x:c r="AK10" s="77"/>
      <x:c r="AL10" s="103"/>
      <x:c r="AM10" s="1032"/>
      <x:c r="AN10" s="1033"/>
      <x:c r="AO10" s="1033"/>
      <x:c r="AP10" s="1033"/>
      <x:c r="AQ10" s="1033"/>
      <x:c r="AR10" s="1034"/>
    </x:row>
    <x:row r="11" spans="1:44" ht="16.75">
      <x:c r="A11" s="1117"/>
      <x:c r="B11" s="87"/>
      <x:c r="C11" s="73"/>
      <x:c r="D11" s="68"/>
      <x:c r="E11" s="56"/>
      <x:c r="F11" s="56"/>
      <x:c r="G11" s="56"/>
      <x:c r="H11" s="56"/>
      <x:c r="I11" s="116"/>
      <x:c r="J11" s="80"/>
      <x:c r="K11" s="80"/>
      <x:c r="L11" s="80"/>
      <x:c r="M11" s="137"/>
      <x:c r="N11" s="116"/>
      <x:c r="O11" s="80"/>
      <x:c r="P11" s="80"/>
      <x:c r="Q11" s="80"/>
      <x:c r="R11" s="544"/>
      <x:c r="S11" s="116"/>
      <x:c r="T11" s="80"/>
      <x:c r="U11" s="80"/>
      <x:c r="V11" s="80"/>
      <x:c r="W11" s="117"/>
      <x:c r="X11" s="144"/>
      <x:c r="Y11" s="80"/>
      <x:c r="Z11" s="80"/>
      <x:c r="AA11" s="80"/>
      <x:c r="AB11" s="137"/>
      <x:c r="AC11" s="116"/>
      <x:c r="AD11" s="80"/>
      <x:c r="AE11" s="80"/>
      <x:c r="AF11" s="80"/>
      <x:c r="AG11" s="137"/>
      <x:c r="AH11" s="80"/>
      <x:c r="AI11" s="80"/>
      <x:c r="AJ11" s="80"/>
      <x:c r="AK11" s="80"/>
      <x:c r="AL11" s="104"/>
      <x:c r="AM11" s="1035"/>
      <x:c r="AN11" s="1036"/>
      <x:c r="AO11" s="1036"/>
      <x:c r="AP11" s="1036"/>
      <x:c r="AQ11" s="1036"/>
      <x:c r="AR11" s="1037"/>
    </x:row>
    <x:row r="12" spans="1:44">
      <x:c r="A12" s="54"/>
      <x:c r="B12" s="94"/>
      <x:c r="C12" s="74"/>
      <x:c r="D12" s="74"/>
      <x:c r="E12" s="74"/>
      <x:c r="F12" s="74"/>
      <x:c r="G12" s="74"/>
      <x:c r="H12" s="74"/>
      <x:c r="I12" s="105"/>
      <x:c r="J12" s="105"/>
      <x:c r="K12" s="105"/>
      <x:c r="L12" s="105"/>
      <x:c r="M12" s="105"/>
      <x:c r="N12" s="112"/>
      <x:c r="O12" s="105"/>
      <x:c r="P12" s="105"/>
      <x:c r="Q12" s="105"/>
      <x:c r="R12" s="545"/>
      <x:c r="S12" s="105"/>
      <x:c r="T12" s="105"/>
      <x:c r="U12" s="105"/>
      <x:c r="V12" s="105"/>
      <x:c r="W12" s="105"/>
      <x:c r="X12" s="105"/>
      <x:c r="Y12" s="105"/>
      <x:c r="Z12" s="105"/>
      <x:c r="AA12" s="105"/>
      <x:c r="AB12" s="105"/>
      <x:c r="AC12" s="105"/>
      <x:c r="AD12" s="105"/>
      <x:c r="AE12" s="105"/>
      <x:c r="AF12" s="105"/>
      <x:c r="AG12" s="105"/>
      <x:c r="AH12" s="105"/>
      <x:c r="AI12" s="105"/>
      <x:c r="AJ12" s="105"/>
      <x:c r="AK12" s="105"/>
      <x:c r="AL12" s="105"/>
      <x:c r="AM12" s="54"/>
      <x:c r="AN12" s="54"/>
      <x:c r="AO12" s="54"/>
      <x:c r="AP12" s="54"/>
      <x:c r="AQ12" s="54"/>
      <x:c r="AR12" s="54"/>
    </x:row>
    <x:row r="13" spans="1:44" ht="16.5" customHeight="1">
      <x:c r="A13" s="1081">
        <x:v>0.125</x:v>
      </x:c>
      <x:c r="B13" s="229"/>
      <x:c r="C13" s="229"/>
      <x:c r="D13" s="229"/>
      <x:c r="E13" s="400"/>
      <x:c r="F13" s="400"/>
      <x:c r="G13" s="400"/>
      <x:c r="H13" s="400"/>
      <x:c r="I13" s="405"/>
      <x:c r="J13" s="229"/>
      <x:c r="K13" s="229"/>
      <x:c r="L13" s="229"/>
      <x:c r="M13" s="403"/>
      <x:c r="N13" s="552"/>
      <x:c r="O13" s="229"/>
      <x:c r="P13" s="229"/>
      <x:c r="Q13" s="229"/>
      <x:c r="R13" s="553"/>
      <x:c r="S13" s="405"/>
      <x:c r="T13" s="229"/>
      <x:c r="U13" s="229"/>
      <x:c r="V13" s="229"/>
      <x:c r="W13" s="406"/>
      <x:c r="X13" s="554"/>
      <x:c r="Y13" s="229"/>
      <x:c r="Z13" s="229"/>
      <x:c r="AA13" s="229"/>
      <x:c r="AB13" s="404"/>
      <x:c r="AC13" s="405"/>
      <x:c r="AD13" s="229"/>
      <x:c r="AE13" s="229"/>
      <x:c r="AF13" s="229"/>
      <x:c r="AG13" s="404"/>
      <x:c r="AH13" s="229"/>
      <x:c r="AI13" s="229"/>
      <x:c r="AJ13" s="229"/>
      <x:c r="AK13" s="229"/>
      <x:c r="AL13" s="397"/>
      <x:c r="AM13" s="1126"/>
      <x:c r="AN13" s="1127"/>
      <x:c r="AO13" s="1127"/>
      <x:c r="AP13" s="1127"/>
      <x:c r="AQ13" s="1127"/>
      <x:c r="AR13" s="1128"/>
    </x:row>
    <x:row r="14" spans="1:44" ht="17.25" customHeight="1">
      <x:c r="A14" s="1082"/>
      <x:c r="B14" s="192"/>
      <x:c r="C14" s="192"/>
      <x:c r="D14" s="190"/>
      <x:c r="E14" s="410"/>
      <x:c r="F14" s="410"/>
      <x:c r="G14" s="410"/>
      <x:c r="H14" s="410"/>
      <x:c r="I14" s="370"/>
      <x:c r="J14" s="192"/>
      <x:c r="K14" s="192"/>
      <x:c r="L14" s="192"/>
      <x:c r="M14" s="412"/>
      <x:c r="N14" s="370"/>
      <x:c r="O14" s="192"/>
      <x:c r="P14" s="192"/>
      <x:c r="Q14" s="192"/>
      <x:c r="R14" s="555"/>
      <x:c r="S14" s="370"/>
      <x:c r="T14" s="192"/>
      <x:c r="U14" s="192"/>
      <x:c r="V14" s="192"/>
      <x:c r="W14" s="413"/>
      <x:c r="X14" s="445"/>
      <x:c r="Y14" s="192"/>
      <x:c r="Z14" s="192"/>
      <x:c r="AA14" s="192"/>
      <x:c r="AB14" s="412"/>
      <x:c r="AC14" s="370"/>
      <x:c r="AD14" s="192"/>
      <x:c r="AE14" s="192"/>
      <x:c r="AF14" s="192"/>
      <x:c r="AG14" s="412"/>
      <x:c r="AH14" s="192"/>
      <x:c r="AI14" s="192"/>
      <x:c r="AJ14" s="192"/>
      <x:c r="AK14" s="192"/>
      <x:c r="AL14" s="556"/>
      <x:c r="AM14" s="1099"/>
      <x:c r="AN14" s="1100"/>
      <x:c r="AO14" s="1100"/>
      <x:c r="AP14" s="1100"/>
      <x:c r="AQ14" s="1100"/>
      <x:c r="AR14" s="1101"/>
    </x:row>
    <x:row r="15" spans="1:44" ht="17.449999999999999" customHeight="1">
      <x:c r="A15" s="1082"/>
      <x:c r="B15" s="192"/>
      <x:c r="C15" s="192"/>
      <x:c r="D15" s="190"/>
      <x:c r="E15" s="410"/>
      <x:c r="F15" s="410"/>
      <x:c r="G15" s="410"/>
      <x:c r="H15" s="410"/>
      <x:c r="I15" s="370"/>
      <x:c r="J15" s="192"/>
      <x:c r="K15" s="192"/>
      <x:c r="L15" s="192"/>
      <x:c r="M15" s="412"/>
      <x:c r="N15" s="370"/>
      <x:c r="O15" s="192"/>
      <x:c r="P15" s="192"/>
      <x:c r="Q15" s="192"/>
      <x:c r="R15" s="555"/>
      <x:c r="S15" s="370"/>
      <x:c r="T15" s="192"/>
      <x:c r="U15" s="192"/>
      <x:c r="V15" s="192"/>
      <x:c r="W15" s="413"/>
      <x:c r="X15" s="445"/>
      <x:c r="Y15" s="192"/>
      <x:c r="Z15" s="192"/>
      <x:c r="AA15" s="192"/>
      <x:c r="AB15" s="412"/>
      <x:c r="AC15" s="370"/>
      <x:c r="AD15" s="192"/>
      <x:c r="AE15" s="192"/>
      <x:c r="AF15" s="192"/>
      <x:c r="AG15" s="412"/>
      <x:c r="AH15" s="192"/>
      <x:c r="AI15" s="192"/>
      <x:c r="AJ15" s="192"/>
      <x:c r="AK15" s="192"/>
      <x:c r="AL15" s="556"/>
      <x:c r="AM15" s="1099"/>
      <x:c r="AN15" s="1100"/>
      <x:c r="AO15" s="1100"/>
      <x:c r="AP15" s="1100"/>
      <x:c r="AQ15" s="1100"/>
      <x:c r="AR15" s="1101"/>
    </x:row>
    <x:row r="16" spans="1:45" s="21" customFormat="1" ht="17.449999999999999" customHeight="1">
      <x:c r="A16" s="1081"/>
      <x:c r="B16" s="362"/>
      <x:c r="C16" s="362"/>
      <x:c r="D16" s="363"/>
      <x:c r="E16" s="417"/>
      <x:c r="F16" s="417"/>
      <x:c r="G16" s="417"/>
      <x:c r="H16" s="417"/>
      <x:c r="I16" s="370"/>
      <x:c r="J16" s="192"/>
      <x:c r="K16" s="192"/>
      <x:c r="L16" s="192"/>
      <x:c r="M16" s="412"/>
      <x:c r="N16" s="370"/>
      <x:c r="O16" s="192"/>
      <x:c r="P16" s="192"/>
      <x:c r="Q16" s="192"/>
      <x:c r="R16" s="555"/>
      <x:c r="S16" s="370"/>
      <x:c r="T16" s="192"/>
      <x:c r="U16" s="192"/>
      <x:c r="V16" s="192"/>
      <x:c r="W16" s="413"/>
      <x:c r="X16" s="445"/>
      <x:c r="Y16" s="192"/>
      <x:c r="Z16" s="192"/>
      <x:c r="AA16" s="192"/>
      <x:c r="AB16" s="412"/>
      <x:c r="AC16" s="370"/>
      <x:c r="AD16" s="192"/>
      <x:c r="AE16" s="192"/>
      <x:c r="AF16" s="192"/>
      <x:c r="AG16" s="412"/>
      <x:c r="AH16" s="192"/>
      <x:c r="AI16" s="192"/>
      <x:c r="AJ16" s="192"/>
      <x:c r="AK16" s="192"/>
      <x:c r="AL16" s="556"/>
      <x:c r="AM16" s="1102"/>
      <x:c r="AN16" s="1103"/>
      <x:c r="AO16" s="1103"/>
      <x:c r="AP16" s="1103"/>
      <x:c r="AQ16" s="1103"/>
      <x:c r="AR16" s="1104"/>
      <x:c r="AS16" s="4"/>
    </x:row>
    <x:row r="17" spans="1:44" ht="17.449999999999999" customHeight="1">
      <x:c r="A17" s="1082"/>
      <x:c r="B17" s="362"/>
      <x:c r="C17" s="363"/>
      <x:c r="D17" s="363"/>
      <x:c r="E17" s="417"/>
      <x:c r="F17" s="417"/>
      <x:c r="G17" s="417"/>
      <x:c r="H17" s="417"/>
      <x:c r="I17" s="370"/>
      <x:c r="J17" s="192"/>
      <x:c r="K17" s="192"/>
      <x:c r="L17" s="192"/>
      <x:c r="M17" s="412"/>
      <x:c r="N17" s="370"/>
      <x:c r="O17" s="192"/>
      <x:c r="P17" s="192"/>
      <x:c r="Q17" s="192"/>
      <x:c r="R17" s="555"/>
      <x:c r="S17" s="370"/>
      <x:c r="T17" s="192"/>
      <x:c r="U17" s="192"/>
      <x:c r="V17" s="192"/>
      <x:c r="W17" s="413"/>
      <x:c r="X17" s="445"/>
      <x:c r="Y17" s="192"/>
      <x:c r="Z17" s="192"/>
      <x:c r="AA17" s="192"/>
      <x:c r="AB17" s="412"/>
      <x:c r="AC17" s="370"/>
      <x:c r="AD17" s="192"/>
      <x:c r="AE17" s="192"/>
      <x:c r="AF17" s="192"/>
      <x:c r="AG17" s="412"/>
      <x:c r="AH17" s="192"/>
      <x:c r="AI17" s="192"/>
      <x:c r="AJ17" s="192"/>
      <x:c r="AK17" s="192"/>
      <x:c r="AL17" s="556"/>
      <x:c r="AM17" s="1099"/>
      <x:c r="AN17" s="1100"/>
      <x:c r="AO17" s="1100"/>
      <x:c r="AP17" s="1100"/>
      <x:c r="AQ17" s="1100"/>
      <x:c r="AR17" s="1101"/>
    </x:row>
    <x:row r="18" spans="1:44" ht="17.449999999999999" customHeight="1">
      <x:c r="A18" s="1131"/>
      <x:c r="B18" s="374"/>
      <x:c r="C18" s="557"/>
      <x:c r="D18" s="557"/>
      <x:c r="E18" s="420"/>
      <x:c r="F18" s="420"/>
      <x:c r="G18" s="420"/>
      <x:c r="H18" s="420"/>
      <x:c r="I18" s="422"/>
      <x:c r="J18" s="374"/>
      <x:c r="K18" s="374"/>
      <x:c r="L18" s="374"/>
      <x:c r="M18" s="421"/>
      <x:c r="N18" s="422"/>
      <x:c r="O18" s="374"/>
      <x:c r="P18" s="374"/>
      <x:c r="Q18" s="558"/>
      <x:c r="R18" s="559"/>
      <x:c r="S18" s="422"/>
      <x:c r="T18" s="374"/>
      <x:c r="U18" s="374"/>
      <x:c r="V18" s="374"/>
      <x:c r="W18" s="423"/>
      <x:c r="X18" s="560"/>
      <x:c r="Y18" s="374"/>
      <x:c r="Z18" s="374"/>
      <x:c r="AA18" s="374"/>
      <x:c r="AB18" s="421"/>
      <x:c r="AC18" s="422"/>
      <x:c r="AD18" s="374"/>
      <x:c r="AE18" s="374"/>
      <x:c r="AF18" s="374"/>
      <x:c r="AG18" s="421"/>
      <x:c r="AH18" s="374"/>
      <x:c r="AI18" s="374"/>
      <x:c r="AJ18" s="374"/>
      <x:c r="AK18" s="374"/>
      <x:c r="AL18" s="561"/>
      <x:c r="AM18" s="1111"/>
      <x:c r="AN18" s="1112"/>
      <x:c r="AO18" s="1112"/>
      <x:c r="AP18" s="1112"/>
      <x:c r="AQ18" s="1112"/>
      <x:c r="AR18" s="1113"/>
    </x:row>
    <x:row r="19" spans="1:44" ht="16.75">
      <x:c r="A19" s="715" t="s">
        <x:v>270</x:v>
      </x:c>
      <x:c r="B19" s="234"/>
      <x:c r="C19" s="235"/>
      <x:c r="D19" s="235"/>
      <x:c r="E19" s="502"/>
      <x:c r="F19" s="502"/>
      <x:c r="G19" s="502"/>
      <x:c r="H19" s="502"/>
      <x:c r="I19" s="236"/>
      <x:c r="J19" s="105"/>
      <x:c r="K19" s="105"/>
      <x:c r="L19" s="105"/>
      <x:c r="M19" s="105"/>
      <x:c r="N19" s="112"/>
      <x:c r="O19" s="105"/>
      <x:c r="P19" s="105"/>
      <x:c r="Q19" s="105"/>
      <x:c r="R19" s="545"/>
      <x:c r="S19" s="105"/>
      <x:c r="T19" s="105"/>
      <x:c r="U19" s="105"/>
      <x:c r="V19" s="105"/>
      <x:c r="W19" s="105"/>
      <x:c r="X19" s="105"/>
      <x:c r="Y19" s="105"/>
      <x:c r="Z19" s="105"/>
      <x:c r="AA19" s="105"/>
      <x:c r="AB19" s="105"/>
      <x:c r="AC19" s="105"/>
      <x:c r="AD19" s="105"/>
      <x:c r="AE19" s="105"/>
      <x:c r="AF19" s="105"/>
      <x:c r="AG19" s="105"/>
      <x:c r="AH19" s="105"/>
      <x:c r="AI19" s="105"/>
      <x:c r="AJ19" s="105"/>
      <x:c r="AK19" s="105"/>
      <x:c r="AL19" s="105"/>
      <x:c r="AM19" s="54"/>
      <x:c r="AN19" s="54"/>
      <x:c r="AO19" s="54"/>
      <x:c r="AP19" s="54"/>
      <x:c r="AQ19" s="54"/>
      <x:c r="AR19" s="54"/>
    </x:row>
    <x:row r="20" spans="1:46" ht="16.5" customHeight="1">
      <x:c r="A20" s="1081">
        <x:v>0.16666666666666666</x:v>
      </x:c>
      <x:c r="B20" s="156" t="s">
        <x:v>372</x:v>
      </x:c>
      <x:c r="C20" s="157" t="s">
        <x:v>237</x:v>
      </x:c>
      <x:c r="D20" s="158" t="s">
        <x:v>375</x:v>
      </x:c>
      <x:c r="E20" s="46"/>
      <x:c r="F20" s="46"/>
      <x:c r="G20" s="46"/>
      <x:c r="H20" s="45"/>
      <x:c r="I20" s="274"/>
      <x:c r="J20" s="307"/>
      <x:c r="K20" s="307"/>
      <x:c r="L20" s="307" t="s">
        <x:v>265</x:v>
      </x:c>
      <x:c r="M20" s="134"/>
      <x:c r="N20" s="444"/>
      <x:c r="O20" s="307"/>
      <x:c r="P20" s="307" t="s">
        <x:v>50</x:v>
      </x:c>
      <x:c r="Q20" s="593"/>
      <x:c r="R20" s="541"/>
      <x:c r="S20" s="665"/>
      <x:c r="T20" s="593"/>
      <x:c r="U20" s="593"/>
      <x:c r="V20" s="593"/>
      <x:c r="W20" s="606" t="s">
        <x:v>60</x:v>
      </x:c>
      <x:c r="X20" s="141"/>
      <x:c r="Y20" s="593"/>
      <x:c r="Z20" s="593"/>
      <x:c r="AA20" s="593"/>
      <x:c r="AB20" s="138"/>
      <x:c r="AC20" s="665"/>
      <x:c r="AD20" s="57"/>
      <x:c r="AE20" s="57"/>
      <x:c r="AF20" s="57"/>
      <x:c r="AG20" s="138"/>
      <x:c r="AH20" s="57"/>
      <x:c r="AI20" s="57"/>
      <x:c r="AJ20" s="57"/>
      <x:c r="AK20" s="57"/>
      <x:c r="AL20" s="101"/>
      <x:c r="AM20" s="1026"/>
      <x:c r="AN20" s="1027"/>
      <x:c r="AO20" s="1027"/>
      <x:c r="AP20" s="1027"/>
      <x:c r="AQ20" s="1027"/>
      <x:c r="AR20" s="1028"/>
      <x:c r="AS20" s="286" t="s">
        <x:v>43</x:v>
      </x:c>
      <x:c r="AT20" s="286"/>
    </x:row>
    <x:row r="21" spans="1:46" ht="17.449999999999999" customHeight="1">
      <x:c r="A21" s="1082"/>
      <x:c r="B21" s="61" t="s">
        <x:v>200</x:v>
      </x:c>
      <x:c r="C21" s="61" t="s">
        <x:v>159</x:v>
      </x:c>
      <x:c r="D21" s="159" t="s">
        <x:v>378</x:v>
      </x:c>
      <x:c r="E21" s="47"/>
      <x:c r="F21" s="47"/>
      <x:c r="G21" s="47"/>
      <x:c r="H21" s="47"/>
      <x:c r="I21" s="275"/>
      <x:c r="J21" s="306"/>
      <x:c r="K21" s="306"/>
      <x:c r="L21" s="306" t="s">
        <x:v>238</x:v>
      </x:c>
      <x:c r="M21" s="135"/>
      <x:c r="N21" s="275"/>
      <x:c r="O21" s="306"/>
      <x:c r="P21" s="306"/>
      <x:c r="Q21" s="306"/>
      <x:c r="R21" s="542"/>
      <x:c r="S21" s="292"/>
      <x:c r="T21" s="302"/>
      <x:c r="U21" s="302"/>
      <x:c r="V21" s="302" t="s">
        <x:v>303</x:v>
      </x:c>
      <x:c r="W21" s="605" t="s">
        <x:v>60</x:v>
      </x:c>
      <x:c r="X21" s="142"/>
      <x:c r="Y21" s="302"/>
      <x:c r="Z21" s="302"/>
      <x:c r="AA21" s="302" t="s">
        <x:v>303</x:v>
      </x:c>
      <x:c r="AB21" s="139"/>
      <x:c r="AC21" s="292"/>
      <x:c r="AD21" s="71"/>
      <x:c r="AE21" s="71"/>
      <x:c r="AF21" s="71"/>
      <x:c r="AG21" s="139"/>
      <x:c r="AH21" s="71"/>
      <x:c r="AI21" s="71"/>
      <x:c r="AJ21" s="71"/>
      <x:c r="AK21" s="71"/>
      <x:c r="AL21" s="102"/>
      <x:c r="AM21" s="1029" t="s">
        <x:v>12</x:v>
      </x:c>
      <x:c r="AN21" s="1030"/>
      <x:c r="AO21" s="1030"/>
      <x:c r="AP21" s="1030"/>
      <x:c r="AQ21" s="1030"/>
      <x:c r="AR21" s="1031"/>
      <x:c r="AS21" s="286" t="s">
        <x:v>43</x:v>
      </x:c>
      <x:c r="AT21" s="286" t="s">
        <x:v>145</x:v>
      </x:c>
    </x:row>
    <x:row r="22" spans="1:46" ht="17.449999999999999" customHeight="1">
      <x:c r="A22" s="1082"/>
      <x:c r="B22" s="271" t="s">
        <x:v>346</x:v>
      </x:c>
      <x:c r="C22" s="272" t="s">
        <x:v>275</x:v>
      </x:c>
      <x:c r="D22" s="273" t="s">
        <x:v>378</x:v>
      </x:c>
      <x:c r="E22" s="47"/>
      <x:c r="F22" s="47"/>
      <x:c r="G22" s="47"/>
      <x:c r="H22" s="47"/>
      <x:c r="I22" s="91"/>
      <x:c r="J22" s="61"/>
      <x:c r="K22" s="61"/>
      <x:c r="L22" s="308" t="s">
        <x:v>359</x:v>
      </x:c>
      <x:c r="M22" s="136"/>
      <x:c r="N22" s="299"/>
      <x:c r="O22" s="308" t="s">
        <x:v>323</x:v>
      </x:c>
      <x:c r="P22" s="308" t="s">
        <x:v>50</x:v>
      </x:c>
      <x:c r="Q22" s="308"/>
      <x:c r="R22" s="543"/>
      <x:c r="S22" s="382"/>
      <x:c r="T22" s="383"/>
      <x:c r="U22" s="383"/>
      <x:c r="V22" s="774"/>
      <x:c r="W22" s="384"/>
      <x:c r="X22" s="143"/>
      <x:c r="Y22" s="357"/>
      <x:c r="Z22" s="357"/>
      <x:c r="AA22" s="147" t="s">
        <x:v>331</x:v>
      </x:c>
      <x:c r="AB22" s="140"/>
      <x:c r="AC22" s="356"/>
      <x:c r="AD22" s="77"/>
      <x:c r="AE22" s="77"/>
      <x:c r="AF22" s="77"/>
      <x:c r="AG22" s="140"/>
      <x:c r="AH22" s="77"/>
      <x:c r="AI22" s="77"/>
      <x:c r="AJ22" s="77"/>
      <x:c r="AK22" s="77"/>
      <x:c r="AL22" s="103"/>
      <x:c r="AM22" s="1032" t="s">
        <x:v>420</x:v>
      </x:c>
      <x:c r="AN22" s="1033"/>
      <x:c r="AO22" s="1033"/>
      <x:c r="AP22" s="1033"/>
      <x:c r="AQ22" s="1033"/>
      <x:c r="AR22" s="1034"/>
      <x:c r="AS22" s="286" t="s">
        <x:v>43</x:v>
      </x:c>
      <x:c r="AT22" s="286"/>
    </x:row>
    <x:row r="23" spans="1:46" ht="17.449999999999999" customHeight="1">
      <x:c r="A23" s="1082"/>
      <x:c r="B23" s="61" t="s">
        <x:v>252</x:v>
      </x:c>
      <x:c r="C23" s="61" t="s">
        <x:v>159</x:v>
      </x:c>
      <x:c r="D23" s="62" t="s">
        <x:v>375</x:v>
      </x:c>
      <x:c r="E23" s="47"/>
      <x:c r="F23" s="47"/>
      <x:c r="G23" s="47"/>
      <x:c r="H23" s="47"/>
      <x:c r="I23" s="91"/>
      <x:c r="J23" s="306" t="s">
        <x:v>380</x:v>
      </x:c>
      <x:c r="K23" s="61"/>
      <x:c r="L23" s="306" t="s">
        <x:v>217</x:v>
      </x:c>
      <x:c r="M23" s="136"/>
      <x:c r="N23" s="91"/>
      <x:c r="O23" s="61"/>
      <x:c r="P23" s="61"/>
      <x:c r="Q23" s="61"/>
      <x:c r="R23" s="543"/>
      <x:c r="S23" s="114"/>
      <x:c r="T23" s="77"/>
      <x:c r="U23" s="77"/>
      <x:c r="V23" s="77"/>
      <x:c r="W23" s="115"/>
      <x:c r="X23" s="143"/>
      <x:c r="Y23" s="147"/>
      <x:c r="Z23" s="357" t="s">
        <x:v>323</x:v>
      </x:c>
      <x:c r="AA23" s="357"/>
      <x:c r="AB23" s="140"/>
      <x:c r="AC23" s="356"/>
      <x:c r="AD23" s="77"/>
      <x:c r="AE23" s="77"/>
      <x:c r="AF23" s="77"/>
      <x:c r="AG23" s="140"/>
      <x:c r="AH23" s="77"/>
      <x:c r="AI23" s="77"/>
      <x:c r="AJ23" s="77"/>
      <x:c r="AK23" s="77"/>
      <x:c r="AL23" s="103"/>
      <x:c r="AM23" s="1102" t="s">
        <x:v>87</x:v>
      </x:c>
      <x:c r="AN23" s="1103"/>
      <x:c r="AO23" s="1103"/>
      <x:c r="AP23" s="1103"/>
      <x:c r="AQ23" s="1103"/>
      <x:c r="AR23" s="1104"/>
      <x:c r="AS23" s="286" t="s">
        <x:v>43</x:v>
      </x:c>
      <x:c r="AT23" s="286" t="s">
        <x:v>145</x:v>
      </x:c>
    </x:row>
    <x:row r="24" spans="1:46" s="38" customFormat="1" ht="17.449999999999999" customHeight="1">
      <x:c r="A24" s="1082"/>
      <x:c r="B24" s="61" t="s">
        <x:v>337</x:v>
      </x:c>
      <x:c r="C24" s="61" t="s">
        <x:v>275</x:v>
      </x:c>
      <x:c r="D24" s="62" t="s">
        <x:v>378</x:v>
      </x:c>
      <x:c r="E24" s="47"/>
      <x:c r="F24" s="47"/>
      <x:c r="G24" s="47"/>
      <x:c r="H24" s="47"/>
      <x:c r="I24" s="91"/>
      <x:c r="J24" s="306" t="s">
        <x:v>380</x:v>
      </x:c>
      <x:c r="K24" s="61"/>
      <x:c r="L24" s="306" t="s">
        <x:v>217</x:v>
      </x:c>
      <x:c r="M24" s="136"/>
      <x:c r="N24" s="91"/>
      <x:c r="O24" s="61"/>
      <x:c r="P24" s="61"/>
      <x:c r="Q24" s="61"/>
      <x:c r="R24" s="543"/>
      <x:c r="S24" s="114"/>
      <x:c r="T24" s="77"/>
      <x:c r="U24" s="77"/>
      <x:c r="V24" s="77"/>
      <x:c r="W24" s="115"/>
      <x:c r="X24" s="143"/>
      <x:c r="Y24" s="357" t="s">
        <x:v>217</x:v>
      </x:c>
      <x:c r="Z24" s="77"/>
      <x:c r="AA24" s="77"/>
      <x:c r="AB24" s="140"/>
      <x:c r="AC24" s="356" t="s">
        <x:v>323</x:v>
      </x:c>
      <x:c r="AD24" s="77"/>
      <x:c r="AE24" s="77"/>
      <x:c r="AF24" s="77"/>
      <x:c r="AG24" s="140"/>
      <x:c r="AH24" s="77"/>
      <x:c r="AI24" s="77"/>
      <x:c r="AJ24" s="77"/>
      <x:c r="AK24" s="77"/>
      <x:c r="AL24" s="103"/>
      <x:c r="AM24" s="160"/>
      <x:c r="AN24" s="161"/>
      <x:c r="AO24" s="161"/>
      <x:c r="AP24" s="161"/>
      <x:c r="AQ24" s="161"/>
      <x:c r="AR24" s="162"/>
      <x:c r="AS24" s="4"/>
      <x:c r="AT24" s="286" t="s">
        <x:v>145</x:v>
      </x:c>
    </x:row>
    <x:row r="25" spans="1:45" s="38" customFormat="1" ht="17.449999999999999" customHeight="1">
      <x:c r="A25" s="1082"/>
      <x:c r="B25" s="61"/>
      <x:c r="C25" s="61"/>
      <x:c r="D25" s="62"/>
      <x:c r="E25" s="47"/>
      <x:c r="F25" s="47"/>
      <x:c r="G25" s="47"/>
      <x:c r="H25" s="47"/>
      <x:c r="I25" s="91"/>
      <x:c r="J25" s="61"/>
      <x:c r="K25" s="61"/>
      <x:c r="L25" s="308" t="s">
        <x:v>341</x:v>
      </x:c>
      <x:c r="M25" s="136"/>
      <x:c r="N25" s="91"/>
      <x:c r="O25" s="61"/>
      <x:c r="P25" s="61"/>
      <x:c r="Q25" s="111"/>
      <x:c r="R25" s="543"/>
      <x:c r="S25" s="114"/>
      <x:c r="T25" s="77"/>
      <x:c r="U25" s="77"/>
      <x:c r="V25" s="77"/>
      <x:c r="W25" s="115"/>
      <x:c r="X25" s="143"/>
      <x:c r="Y25" s="77"/>
      <x:c r="Z25" s="77"/>
      <x:c r="AA25" s="77" t="s">
        <x:v>334</x:v>
      </x:c>
      <x:c r="AB25" s="140"/>
      <x:c r="AC25" s="356" t="s">
        <x:v>217</x:v>
      </x:c>
      <x:c r="AD25" s="77"/>
      <x:c r="AE25" s="77"/>
      <x:c r="AF25" s="77"/>
      <x:c r="AG25" s="140"/>
      <x:c r="AH25" s="77"/>
      <x:c r="AI25" s="77"/>
      <x:c r="AJ25" s="77"/>
      <x:c r="AK25" s="77"/>
      <x:c r="AL25" s="103"/>
      <x:c r="AM25" s="160"/>
      <x:c r="AN25" s="161"/>
      <x:c r="AO25" s="161"/>
      <x:c r="AP25" s="161"/>
      <x:c r="AQ25" s="161"/>
      <x:c r="AR25" s="162"/>
      <x:c r="AS25" s="4"/>
    </x:row>
    <x:row r="26" spans="1:46" ht="17.149999999999999">
      <x:c r="A26" s="249" t="s">
        <x:v>311</x:v>
      </x:c>
      <x:c r="B26" s="250" t="s">
        <x:v>267</x:v>
      </x:c>
      <x:c r="C26" s="232" t="s">
        <x:v>275</x:v>
      </x:c>
      <x:c r="D26" s="251" t="s">
        <x:v>378</x:v>
      </x:c>
      <x:c r="E26" s="218"/>
      <x:c r="F26" s="56"/>
      <x:c r="G26" s="56"/>
      <x:c r="H26" s="219"/>
      <x:c r="I26" s="375" t="s">
        <x:v>89</x:v>
      </x:c>
      <x:c r="J26" s="310"/>
      <x:c r="K26" s="310"/>
      <x:c r="L26" s="470" t="s">
        <x:v>119</x:v>
      </x:c>
      <x:c r="M26" s="222"/>
      <x:c r="N26" s="458" t="s">
        <x:v>42</x:v>
      </x:c>
      <x:c r="O26" s="223"/>
      <x:c r="P26" s="223"/>
      <x:c r="Q26" s="223"/>
      <x:c r="R26" s="546"/>
      <x:c r="S26" s="225"/>
      <x:c r="T26" s="223"/>
      <x:c r="U26" s="223"/>
      <x:c r="V26" s="223"/>
      <x:c r="W26" s="792" t="s">
        <x:v>60</x:v>
      </x:c>
      <x:c r="X26" s="225"/>
      <x:c r="Y26" s="310"/>
      <x:c r="Z26" s="310"/>
      <x:c r="AA26" s="310"/>
      <x:c r="AB26" s="222"/>
      <x:c r="AC26" s="987"/>
      <x:c r="AD26" s="221"/>
      <x:c r="AE26" s="221"/>
      <x:c r="AF26" s="221"/>
      <x:c r="AG26" s="222"/>
      <x:c r="AH26" s="220"/>
      <x:c r="AI26" s="221"/>
      <x:c r="AJ26" s="221"/>
      <x:c r="AK26" s="221"/>
      <x:c r="AL26" s="224"/>
      <x:c r="AM26" s="1122" t="s">
        <x:v>426</x:v>
      </x:c>
      <x:c r="AN26" s="1123"/>
      <x:c r="AO26" s="1123"/>
      <x:c r="AP26" s="1123"/>
      <x:c r="AQ26" s="1123"/>
      <x:c r="AR26" s="1124"/>
      <x:c r="AS26" s="886" t="s">
        <x:v>306</x:v>
      </x:c>
      <x:c r="AT26" s="7"/>
    </x:row>
    <x:row r="27" spans="1:44">
      <x:c r="A27" s="54" t="s">
        <x:v>270</x:v>
      </x:c>
      <x:c r="B27" s="94"/>
      <x:c r="C27" s="74"/>
      <x:c r="D27" s="74"/>
      <x:c r="E27" s="74"/>
      <x:c r="F27" s="74"/>
      <x:c r="G27" s="74"/>
      <x:c r="H27" s="74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545"/>
      <x:c r="S27" s="105"/>
      <x:c r="T27" s="105"/>
      <x:c r="U27" s="105"/>
      <x:c r="V27" s="105"/>
      <x:c r="W27" s="105"/>
      <x:c r="X27" s="105"/>
      <x:c r="Y27" s="105"/>
      <x:c r="Z27" s="105"/>
      <x:c r="AA27" s="105"/>
      <x:c r="AB27" s="105"/>
      <x:c r="AC27" s="105"/>
      <x:c r="AD27" s="105"/>
      <x:c r="AE27" s="105"/>
      <x:c r="AF27" s="105"/>
      <x:c r="AG27" s="105"/>
      <x:c r="AH27" s="105"/>
      <x:c r="AI27" s="105"/>
      <x:c r="AJ27" s="105"/>
      <x:c r="AK27" s="105"/>
      <x:c r="AL27" s="105"/>
      <x:c r="AM27" s="54"/>
      <x:c r="AN27" s="54"/>
      <x:c r="AO27" s="54"/>
      <x:c r="AP27" s="54"/>
      <x:c r="AQ27" s="54"/>
      <x:c r="AR27" s="54"/>
    </x:row>
    <x:row r="28" spans="1:46" ht="16.5" customHeight="1">
      <x:c r="A28" s="1132" t="s">
        <x:v>129</x:v>
      </x:c>
      <x:c r="B28" s="391" t="s">
        <x:v>241</x:v>
      </x:c>
      <x:c r="C28" s="63" t="s">
        <x:v>159</x:v>
      </x:c>
      <x:c r="D28" s="204" t="s">
        <x:v>375</x:v>
      </x:c>
      <x:c r="E28" s="238"/>
      <x:c r="F28" s="45"/>
      <x:c r="G28" s="45"/>
      <x:c r="H28" s="338"/>
      <x:c r="I28" s="274"/>
      <x:c r="J28" s="307"/>
      <x:c r="K28" s="307"/>
      <x:c r="L28" s="307"/>
      <x:c r="M28" s="134"/>
      <x:c r="N28" s="444" t="s">
        <x:v>211</x:v>
      </x:c>
      <x:c r="O28" s="307"/>
      <x:c r="P28" s="307"/>
      <x:c r="Q28" s="593"/>
      <x:c r="R28" s="541"/>
      <x:c r="S28" s="665"/>
      <x:c r="T28" s="593"/>
      <x:c r="U28" s="593"/>
      <x:c r="V28" s="593" t="s">
        <x:v>65</x:v>
      </x:c>
      <x:c r="W28" s="606" t="s">
        <x:v>41</x:v>
      </x:c>
      <x:c r="X28" s="141"/>
      <x:c r="Y28" s="593"/>
      <x:c r="Z28" s="593"/>
      <x:c r="AA28" s="593"/>
      <x:c r="AB28" s="138"/>
      <x:c r="AC28" s="665"/>
      <x:c r="AD28" s="57"/>
      <x:c r="AE28" s="57"/>
      <x:c r="AF28" s="57"/>
      <x:c r="AG28" s="138"/>
      <x:c r="AH28" s="57"/>
      <x:c r="AI28" s="57"/>
      <x:c r="AJ28" s="57"/>
      <x:c r="AK28" s="57"/>
      <x:c r="AL28" s="101"/>
      <x:c r="AM28" s="1026" t="s">
        <x:v>421</x:v>
      </x:c>
      <x:c r="AN28" s="1027"/>
      <x:c r="AO28" s="1027"/>
      <x:c r="AP28" s="1027"/>
      <x:c r="AQ28" s="1027"/>
      <x:c r="AR28" s="1028"/>
      <x:c r="AS28" s="286" t="s">
        <x:v>43</x:v>
      </x:c>
      <x:c r="AT28" s="286" t="s">
        <x:v>145</x:v>
      </x:c>
    </x:row>
    <x:row r="29" spans="1:46">
      <x:c r="A29" s="1133"/>
      <x:c r="B29" s="291" t="s">
        <x:v>168</x:v>
      </x:c>
      <x:c r="C29" s="61" t="s">
        <x:v>218</x:v>
      </x:c>
      <x:c r="D29" s="167" t="s">
        <x:v>375</x:v>
      </x:c>
      <x:c r="E29" s="239"/>
      <x:c r="F29" s="48"/>
      <x:c r="G29" s="48"/>
      <x:c r="H29" s="339"/>
      <x:c r="I29" s="275"/>
      <x:c r="J29" s="306"/>
      <x:c r="K29" s="306"/>
      <x:c r="L29" s="306" t="s">
        <x:v>279</x:v>
      </x:c>
      <x:c r="M29" s="135"/>
      <x:c r="N29" s="275"/>
      <x:c r="O29" s="306"/>
      <x:c r="P29" s="306"/>
      <x:c r="Q29" s="306"/>
      <x:c r="R29" s="547"/>
      <x:c r="S29" s="292"/>
      <x:c r="T29" s="302"/>
      <x:c r="U29" s="146"/>
      <x:c r="V29" s="302"/>
      <x:c r="W29" s="139" t="s">
        <x:v>60</x:v>
      </x:c>
      <x:c r="X29" s="142"/>
      <x:c r="Y29" s="146"/>
      <x:c r="Z29" s="146"/>
      <x:c r="AA29" s="146"/>
      <x:c r="AB29" s="139"/>
      <x:c r="AC29" s="292" t="s">
        <x:v>130</x:v>
      </x:c>
      <x:c r="AD29" s="71"/>
      <x:c r="AE29" s="71"/>
      <x:c r="AF29" s="71"/>
      <x:c r="AG29" s="139"/>
      <x:c r="AH29" s="71"/>
      <x:c r="AI29" s="71"/>
      <x:c r="AJ29" s="71"/>
      <x:c r="AK29" s="71"/>
      <x:c r="AL29" s="102"/>
      <x:c r="AM29" s="1029" t="s">
        <x:v>35</x:v>
      </x:c>
      <x:c r="AN29" s="1030"/>
      <x:c r="AO29" s="1030"/>
      <x:c r="AP29" s="1030"/>
      <x:c r="AQ29" s="1030"/>
      <x:c r="AR29" s="1031"/>
      <x:c r="AS29" s="286"/>
      <x:c r="AT29" s="286" t="s">
        <x:v>145</x:v>
      </x:c>
    </x:row>
    <x:row r="30" spans="1:46">
      <x:c r="A30" s="1133"/>
      <x:c r="B30" s="252" t="s">
        <x:v>403</x:v>
      </x:c>
      <x:c r="C30" s="53" t="s">
        <x:v>184</x:v>
      </x:c>
      <x:c r="D30" s="166" t="s">
        <x:v>375</x:v>
      </x:c>
      <x:c r="E30" s="239"/>
      <x:c r="F30" s="48"/>
      <x:c r="G30" s="48"/>
      <x:c r="H30" s="339"/>
      <x:c r="I30" s="277"/>
      <x:c r="J30" s="308" t="s">
        <x:v>107</x:v>
      </x:c>
      <x:c r="K30" s="308"/>
      <x:c r="L30" s="308"/>
      <x:c r="M30" s="136"/>
      <x:c r="N30" s="277"/>
      <x:c r="O30" s="308"/>
      <x:c r="P30" s="308"/>
      <x:c r="Q30" s="308"/>
      <x:c r="R30" s="548"/>
      <x:c r="S30" s="356" t="s">
        <x:v>265</x:v>
      </x:c>
      <x:c r="T30" s="357"/>
      <x:c r="U30" s="357"/>
      <x:c r="V30" s="357"/>
      <x:c r="W30" s="605" t="s">
        <x:v>60</x:v>
      </x:c>
      <x:c r="X30" s="142"/>
      <x:c r="Y30" s="302"/>
      <x:c r="Z30" s="302" t="s">
        <x:v>147</x:v>
      </x:c>
      <x:c r="AA30" s="302"/>
      <x:c r="AB30" s="139"/>
      <x:c r="AC30" s="356"/>
      <x:c r="AD30" s="77"/>
      <x:c r="AE30" s="77"/>
      <x:c r="AF30" s="77"/>
      <x:c r="AG30" s="140"/>
      <x:c r="AH30" s="71"/>
      <x:c r="AI30" s="71"/>
      <x:c r="AJ30" s="71"/>
      <x:c r="AK30" s="71"/>
      <x:c r="AL30" s="102"/>
      <x:c r="AM30" s="1029"/>
      <x:c r="AN30" s="1030"/>
      <x:c r="AO30" s="1030"/>
      <x:c r="AP30" s="1030"/>
      <x:c r="AQ30" s="1030"/>
      <x:c r="AR30" s="1031"/>
      <x:c r="AS30" s="286" t="s">
        <x:v>43</x:v>
      </x:c>
      <x:c r="AT30" s="286" t="s">
        <x:v>145</x:v>
      </x:c>
    </x:row>
    <x:row r="31" spans="1:46" ht="16.75" customHeight="1">
      <x:c r="A31" s="1133"/>
      <x:c r="B31" s="317" t="s">
        <x:v>196</x:v>
      </x:c>
      <x:c r="C31" s="385" t="s">
        <x:v>159</x:v>
      </x:c>
      <x:c r="D31" s="392" t="s">
        <x:v>375</x:v>
      </x:c>
      <x:c r="E31" s="239"/>
      <x:c r="F31" s="48"/>
      <x:c r="G31" s="48"/>
      <x:c r="H31" s="339"/>
      <x:c r="I31" s="292"/>
      <x:c r="J31" s="302"/>
      <x:c r="K31" s="302"/>
      <x:c r="L31" s="302"/>
      <x:c r="M31" s="150"/>
      <x:c r="N31" s="536" t="s">
        <x:v>211</x:v>
      </x:c>
      <x:c r="O31" s="308"/>
      <x:c r="P31" s="302" t="s">
        <x:v>303</x:v>
      </x:c>
      <x:c r="Q31" s="598"/>
      <x:c r="R31" s="547"/>
      <x:c r="S31" s="292"/>
      <x:c r="T31" s="302" t="s">
        <x:v>234</x:v>
      </x:c>
      <x:c r="U31" s="302"/>
      <x:c r="V31" s="302"/>
      <x:c r="W31" s="605" t="s">
        <x:v>60</x:v>
      </x:c>
      <x:c r="X31" s="142"/>
      <x:c r="Y31" s="302"/>
      <x:c r="Z31" s="302"/>
      <x:c r="AA31" s="302"/>
      <x:c r="AB31" s="139"/>
      <x:c r="AC31" s="292"/>
      <x:c r="AD31" s="71"/>
      <x:c r="AE31" s="71"/>
      <x:c r="AF31" s="71"/>
      <x:c r="AG31" s="139"/>
      <x:c r="AH31" s="80"/>
      <x:c r="AI31" s="80"/>
      <x:c r="AJ31" s="80"/>
      <x:c r="AK31" s="80"/>
      <x:c r="AL31" s="104"/>
      <x:c r="AM31" s="1029" t="s">
        <x:v>24</x:v>
      </x:c>
      <x:c r="AN31" s="1030"/>
      <x:c r="AO31" s="1030"/>
      <x:c r="AP31" s="1030"/>
      <x:c r="AQ31" s="1030"/>
      <x:c r="AR31" s="1031"/>
      <x:c r="AS31" s="286" t="s">
        <x:v>43</x:v>
      </x:c>
      <x:c r="AT31" s="286" t="s">
        <x:v>145</x:v>
      </x:c>
    </x:row>
    <x:row r="32" spans="1:46" ht="16.75">
      <x:c r="A32" s="1133"/>
      <x:c r="B32" s="1017" t="s">
        <x:v>359</x:v>
      </x:c>
      <x:c r="C32" s="53" t="s">
        <x:v>312</x:v>
      </x:c>
      <x:c r="D32" s="166" t="s">
        <x:v>378</x:v>
      </x:c>
      <x:c r="E32" s="45"/>
      <x:c r="F32" s="45"/>
      <x:c r="G32" s="45"/>
      <x:c r="H32" s="45"/>
      <x:c r="I32" s="274"/>
      <x:c r="J32" s="307"/>
      <x:c r="K32" s="307"/>
      <x:c r="L32" s="307"/>
      <x:c r="M32" s="304"/>
      <x:c r="N32" s="274" t="s">
        <x:v>211</x:v>
      </x:c>
      <x:c r="O32" s="307"/>
      <x:c r="P32" s="307"/>
      <x:c r="Q32" s="593"/>
      <x:c r="R32" s="549"/>
      <x:c r="S32" s="292"/>
      <x:c r="T32" s="302"/>
      <x:c r="U32" s="302"/>
      <x:c r="V32" s="302" t="s">
        <x:v>65</x:v>
      </x:c>
      <x:c r="W32" s="605" t="s">
        <x:v>41</x:v>
      </x:c>
      <x:c r="X32" s="142"/>
      <x:c r="Y32" s="302"/>
      <x:c r="Z32" s="302"/>
      <x:c r="AA32" s="302"/>
      <x:c r="AB32" s="139"/>
      <x:c r="AC32" s="292"/>
      <x:c r="AD32" s="71"/>
      <x:c r="AE32" s="71"/>
      <x:c r="AF32" s="71"/>
      <x:c r="AG32" s="139"/>
      <x:c r="AH32" s="651"/>
      <x:c r="AI32" s="57"/>
      <x:c r="AJ32" s="57"/>
      <x:c r="AK32" s="57"/>
      <x:c r="AL32" s="101"/>
      <x:c r="AM32" s="1029"/>
      <x:c r="AN32" s="1030"/>
      <x:c r="AO32" s="1030"/>
      <x:c r="AP32" s="1030"/>
      <x:c r="AQ32" s="1030"/>
      <x:c r="AR32" s="1031"/>
      <x:c r="AS32" s="286" t="s">
        <x:v>43</x:v>
      </x:c>
      <x:c r="AT32" s="286" t="s">
        <x:v>145</x:v>
      </x:c>
    </x:row>
    <x:row r="33" spans="1:46" ht="16.75">
      <x:c r="A33" s="1134"/>
      <x:c r="B33" s="295" t="s">
        <x:v>391</x:v>
      </x:c>
      <x:c r="C33" s="68" t="s">
        <x:v>172</x:v>
      </x:c>
      <x:c r="D33" s="243" t="s">
        <x:v>375</x:v>
      </x:c>
      <x:c r="E33" s="379"/>
      <x:c r="F33" s="68"/>
      <x:c r="G33" s="68"/>
      <x:c r="H33" s="324"/>
      <x:c r="I33" s="144"/>
      <x:c r="J33" s="148"/>
      <x:c r="K33" s="148"/>
      <x:c r="L33" s="148"/>
      <x:c r="M33" s="137"/>
      <x:c r="N33" s="460" t="s">
        <x:v>323</x:v>
      </x:c>
      <x:c r="O33" s="311"/>
      <x:c r="P33" s="311"/>
      <x:c r="Q33" s="311"/>
      <x:c r="R33" s="544"/>
      <x:c r="S33" s="280"/>
      <x:c r="T33" s="311"/>
      <x:c r="U33" s="311"/>
      <x:c r="V33" s="311"/>
      <x:c r="W33" s="394" t="s">
        <x:v>60</x:v>
      </x:c>
      <x:c r="X33" s="697"/>
      <x:c r="Y33" s="311"/>
      <x:c r="Z33" s="311"/>
      <x:c r="AA33" s="311"/>
      <x:c r="AB33" s="104"/>
      <x:c r="AC33" s="280"/>
      <x:c r="AD33" s="80"/>
      <x:c r="AE33" s="80"/>
      <x:c r="AF33" s="80"/>
      <x:c r="AG33" s="117"/>
      <x:c r="AH33" s="697"/>
      <x:c r="AI33" s="80"/>
      <x:c r="AJ33" s="80"/>
      <x:c r="AK33" s="80"/>
      <x:c r="AL33" s="104"/>
      <x:c r="AM33" s="1141" t="s">
        <x:v>131</x:v>
      </x:c>
      <x:c r="AN33" s="1142"/>
      <x:c r="AO33" s="1142"/>
      <x:c r="AP33" s="1142"/>
      <x:c r="AQ33" s="1142"/>
      <x:c r="AR33" s="1143"/>
      <x:c r="AS33" s="286" t="s">
        <x:v>43</x:v>
      </x:c>
      <x:c r="AT33" s="286" t="s">
        <x:v>145</x:v>
      </x:c>
    </x:row>
    <x:row r="34" spans="1:45" s="26" customFormat="1">
      <x:c r="A34" s="54"/>
      <x:c r="B34" s="94"/>
      <x:c r="C34" s="74"/>
      <x:c r="D34" s="74"/>
      <x:c r="E34" s="74"/>
      <x:c r="F34" s="74"/>
      <x:c r="G34" s="74"/>
      <x:c r="H34" s="74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545"/>
      <x:c r="S34" s="105"/>
      <x:c r="T34" s="105"/>
      <x:c r="U34" s="105"/>
      <x:c r="V34" s="105"/>
      <x:c r="W34" s="105"/>
      <x:c r="X34" s="105"/>
      <x:c r="Y34" s="105"/>
      <x:c r="Z34" s="105"/>
      <x:c r="AA34" s="105"/>
      <x:c r="AB34" s="105"/>
      <x:c r="AC34" s="105"/>
      <x:c r="AD34" s="105"/>
      <x:c r="AE34" s="105"/>
      <x:c r="AF34" s="105"/>
      <x:c r="AG34" s="105"/>
      <x:c r="AH34" s="105"/>
      <x:c r="AI34" s="105"/>
      <x:c r="AJ34" s="105"/>
      <x:c r="AK34" s="105"/>
      <x:c r="AL34" s="105"/>
      <x:c r="AM34" s="54"/>
      <x:c r="AN34" s="54"/>
      <x:c r="AO34" s="54"/>
      <x:c r="AP34" s="54"/>
      <x:c r="AQ34" s="54"/>
      <x:c r="AR34" s="54"/>
      <x:c r="AS34" s="4"/>
    </x:row>
    <x:row r="35" spans="1:46" s="12" customFormat="1" ht="16.5" customHeight="1">
      <x:c r="A35" s="1121" t="s">
        <x:v>39</x:v>
      </x:c>
      <x:c r="B35" s="519" t="s">
        <x:v>185</x:v>
      </x:c>
      <x:c r="C35" s="368" t="s">
        <x:v>367</x:v>
      </x:c>
      <x:c r="D35" s="520" t="s">
        <x:v>378</x:v>
      </x:c>
      <x:c r="E35" s="521"/>
      <x:c r="F35" s="346"/>
      <x:c r="G35" s="346"/>
      <x:c r="H35" s="522"/>
      <x:c r="I35" s="523"/>
      <x:c r="J35" s="524"/>
      <x:c r="K35" s="525" t="s">
        <x:v>84</x:v>
      </x:c>
      <x:c r="L35" s="526" t="s">
        <x:v>123</x:v>
      </x:c>
      <x:c r="M35" s="527"/>
      <x:c r="N35" s="531"/>
      <x:c r="O35" s="355"/>
      <x:c r="P35" s="355" t="s">
        <x:v>334</x:v>
      </x:c>
      <x:c r="Q35" s="355"/>
      <x:c r="R35" s="532"/>
      <x:c r="S35" s="531"/>
      <x:c r="T35" s="355"/>
      <x:c r="U35" s="355"/>
      <x:c r="V35" s="355"/>
      <x:c r="W35" s="607"/>
      <x:c r="X35" s="528" t="s">
        <x:v>323</x:v>
      </x:c>
      <x:c r="Y35" s="349"/>
      <x:c r="Z35" s="888"/>
      <x:c r="AA35" s="888" t="s">
        <x:v>102</x:v>
      </x:c>
      <x:c r="AB35" s="532"/>
      <x:c r="AC35" s="528"/>
      <x:c r="AD35" s="348"/>
      <x:c r="AE35" s="348"/>
      <x:c r="AF35" s="348"/>
      <x:c r="AG35" s="532"/>
      <x:c r="AH35" s="530"/>
      <x:c r="AI35" s="348"/>
      <x:c r="AJ35" s="348"/>
      <x:c r="AK35" s="348"/>
      <x:c r="AL35" s="529"/>
      <x:c r="AM35" s="1138"/>
      <x:c r="AN35" s="1139"/>
      <x:c r="AO35" s="1139"/>
      <x:c r="AP35" s="1139"/>
      <x:c r="AQ35" s="1139"/>
      <x:c r="AR35" s="1140"/>
      <x:c r="AS35" s="286" t="s">
        <x:v>43</x:v>
      </x:c>
      <x:c r="AT35" s="286" t="s">
        <x:v>145</x:v>
      </x:c>
    </x:row>
    <x:row r="36" spans="1:44">
      <x:c r="A36" s="1116"/>
      <x:c r="B36" s="50"/>
      <x:c r="C36" s="50"/>
      <x:c r="D36" s="64"/>
      <x:c r="E36" s="48"/>
      <x:c r="F36" s="48"/>
      <x:c r="G36" s="48"/>
      <x:c r="H36" s="48"/>
      <x:c r="I36" s="125"/>
      <x:c r="J36" s="85"/>
      <x:c r="K36" s="85"/>
      <x:c r="L36" s="85"/>
      <x:c r="M36" s="135"/>
      <x:c r="N36" s="118"/>
      <x:c r="O36" s="72"/>
      <x:c r="P36" s="72"/>
      <x:c r="Q36" s="71"/>
      <x:c r="R36" s="542"/>
      <x:c r="S36" s="120"/>
      <x:c r="T36" s="71"/>
      <x:c r="U36" s="71"/>
      <x:c r="V36" s="71"/>
      <x:c r="W36" s="122"/>
      <x:c r="X36" s="142"/>
      <x:c r="Y36" s="71"/>
      <x:c r="Z36" s="71"/>
      <x:c r="AA36" s="71"/>
      <x:c r="AB36" s="139"/>
      <x:c r="AC36" s="120"/>
      <x:c r="AD36" s="71"/>
      <x:c r="AE36" s="71"/>
      <x:c r="AF36" s="71"/>
      <x:c r="AG36" s="139"/>
      <x:c r="AH36" s="71"/>
      <x:c r="AI36" s="71"/>
      <x:c r="AJ36" s="71"/>
      <x:c r="AK36" s="71"/>
      <x:c r="AL36" s="102"/>
      <x:c r="AM36" s="1029"/>
      <x:c r="AN36" s="1030"/>
      <x:c r="AO36" s="1030"/>
      <x:c r="AP36" s="1030"/>
      <x:c r="AQ36" s="1030"/>
      <x:c r="AR36" s="1031"/>
    </x:row>
    <x:row r="37" spans="1:44">
      <x:c r="A37" s="1116"/>
      <x:c r="B37" s="50"/>
      <x:c r="C37" s="50"/>
      <x:c r="D37" s="64"/>
      <x:c r="E37" s="48"/>
      <x:c r="F37" s="48"/>
      <x:c r="G37" s="48"/>
      <x:c r="H37" s="48"/>
      <x:c r="I37" s="125"/>
      <x:c r="J37" s="85"/>
      <x:c r="K37" s="85"/>
      <x:c r="L37" s="85"/>
      <x:c r="M37" s="135"/>
      <x:c r="N37" s="125"/>
      <x:c r="O37" s="85"/>
      <x:c r="P37" s="85"/>
      <x:c r="Q37" s="85"/>
      <x:c r="R37" s="542"/>
      <x:c r="S37" s="120"/>
      <x:c r="T37" s="71"/>
      <x:c r="U37" s="71"/>
      <x:c r="V37" s="71"/>
      <x:c r="W37" s="122"/>
      <x:c r="X37" s="142"/>
      <x:c r="Y37" s="71"/>
      <x:c r="Z37" s="71"/>
      <x:c r="AA37" s="71"/>
      <x:c r="AB37" s="139"/>
      <x:c r="AC37" s="120"/>
      <x:c r="AD37" s="71"/>
      <x:c r="AE37" s="71"/>
      <x:c r="AF37" s="71"/>
      <x:c r="AG37" s="139"/>
      <x:c r="AH37" s="71"/>
      <x:c r="AI37" s="71"/>
      <x:c r="AJ37" s="71"/>
      <x:c r="AK37" s="71"/>
      <x:c r="AL37" s="102"/>
      <x:c r="AM37" s="1032"/>
      <x:c r="AN37" s="1033"/>
      <x:c r="AO37" s="1033"/>
      <x:c r="AP37" s="1033"/>
      <x:c r="AQ37" s="1033"/>
      <x:c r="AR37" s="1034"/>
    </x:row>
    <x:row r="38" spans="1:44">
      <x:c r="A38" s="1116"/>
      <x:c r="B38" s="84"/>
      <x:c r="C38" s="65"/>
      <x:c r="D38" s="66"/>
      <x:c r="E38" s="48"/>
      <x:c r="F38" s="48"/>
      <x:c r="G38" s="48"/>
      <x:c r="H38" s="48"/>
      <x:c r="I38" s="125"/>
      <x:c r="J38" s="85"/>
      <x:c r="K38" s="85"/>
      <x:c r="L38" s="85"/>
      <x:c r="M38" s="135"/>
      <x:c r="N38" s="125"/>
      <x:c r="O38" s="85"/>
      <x:c r="P38" s="85"/>
      <x:c r="Q38" s="85"/>
      <x:c r="R38" s="542"/>
      <x:c r="S38" s="120"/>
      <x:c r="T38" s="71"/>
      <x:c r="U38" s="71"/>
      <x:c r="V38" s="71"/>
      <x:c r="W38" s="122"/>
      <x:c r="X38" s="142"/>
      <x:c r="Y38" s="71"/>
      <x:c r="Z38" s="71"/>
      <x:c r="AA38" s="71"/>
      <x:c r="AB38" s="139"/>
      <x:c r="AC38" s="120"/>
      <x:c r="AD38" s="71"/>
      <x:c r="AE38" s="71"/>
      <x:c r="AF38" s="71"/>
      <x:c r="AG38" s="139"/>
      <x:c r="AH38" s="71"/>
      <x:c r="AI38" s="71"/>
      <x:c r="AJ38" s="71"/>
      <x:c r="AK38" s="71"/>
      <x:c r="AL38" s="102"/>
      <x:c r="AM38" s="1029"/>
      <x:c r="AN38" s="1030"/>
      <x:c r="AO38" s="1030"/>
      <x:c r="AP38" s="1030"/>
      <x:c r="AQ38" s="1030"/>
      <x:c r="AR38" s="1031"/>
    </x:row>
    <x:row r="39" spans="1:44">
      <x:c r="A39" s="1116"/>
      <x:c r="B39" s="53"/>
      <x:c r="C39" s="53"/>
      <x:c r="D39" s="67"/>
      <x:c r="E39" s="48"/>
      <x:c r="F39" s="48"/>
      <x:c r="G39" s="48"/>
      <x:c r="H39" s="48"/>
      <x:c r="I39" s="128"/>
      <x:c r="J39" s="86"/>
      <x:c r="K39" s="86"/>
      <x:c r="L39" s="86"/>
      <x:c r="M39" s="136"/>
      <x:c r="N39" s="128"/>
      <x:c r="O39" s="86"/>
      <x:c r="P39" s="86"/>
      <x:c r="Q39" s="111"/>
      <x:c r="R39" s="543"/>
      <x:c r="S39" s="114"/>
      <x:c r="T39" s="77"/>
      <x:c r="U39" s="77"/>
      <x:c r="V39" s="77"/>
      <x:c r="W39" s="115"/>
      <x:c r="X39" s="143"/>
      <x:c r="Y39" s="77"/>
      <x:c r="Z39" s="77"/>
      <x:c r="AA39" s="77"/>
      <x:c r="AB39" s="140"/>
      <x:c r="AC39" s="114"/>
      <x:c r="AD39" s="77"/>
      <x:c r="AE39" s="77"/>
      <x:c r="AF39" s="77"/>
      <x:c r="AG39" s="140"/>
      <x:c r="AH39" s="71"/>
      <x:c r="AI39" s="71"/>
      <x:c r="AJ39" s="71"/>
      <x:c r="AK39" s="71"/>
      <x:c r="AL39" s="102"/>
      <x:c r="AM39" s="1029"/>
      <x:c r="AN39" s="1030"/>
      <x:c r="AO39" s="1030"/>
      <x:c r="AP39" s="1030"/>
      <x:c r="AQ39" s="1030"/>
      <x:c r="AR39" s="1031"/>
    </x:row>
    <x:row r="40" spans="1:44" ht="16.75">
      <x:c r="A40" s="1117"/>
      <x:c r="B40" s="89"/>
      <x:c r="C40" s="68"/>
      <x:c r="D40" s="68"/>
      <x:c r="E40" s="56"/>
      <x:c r="F40" s="56"/>
      <x:c r="G40" s="56"/>
      <x:c r="H40" s="56"/>
      <x:c r="I40" s="280" t="s">
        <x:v>187</x:v>
      </x:c>
      <x:c r="J40" s="80"/>
      <x:c r="K40" s="80"/>
      <x:c r="L40" s="80"/>
      <x:c r="M40" s="137"/>
      <x:c r="N40" s="116"/>
      <x:c r="O40" s="80"/>
      <x:c r="P40" s="80"/>
      <x:c r="Q40" s="80"/>
      <x:c r="R40" s="544"/>
      <x:c r="S40" s="116"/>
      <x:c r="T40" s="80"/>
      <x:c r="U40" s="80"/>
      <x:c r="V40" s="80"/>
      <x:c r="W40" s="117"/>
      <x:c r="X40" s="144"/>
      <x:c r="Y40" s="80"/>
      <x:c r="Z40" s="80"/>
      <x:c r="AA40" s="80"/>
      <x:c r="AB40" s="137"/>
      <x:c r="AC40" s="116"/>
      <x:c r="AD40" s="80"/>
      <x:c r="AE40" s="80"/>
      <x:c r="AF40" s="80"/>
      <x:c r="AG40" s="137"/>
      <x:c r="AH40" s="80"/>
      <x:c r="AI40" s="80"/>
      <x:c r="AJ40" s="80"/>
      <x:c r="AK40" s="80"/>
      <x:c r="AL40" s="104"/>
      <x:c r="AM40" s="1035"/>
      <x:c r="AN40" s="1036"/>
      <x:c r="AO40" s="1036"/>
      <x:c r="AP40" s="1036"/>
      <x:c r="AQ40" s="1036"/>
      <x:c r="AR40" s="1037"/>
    </x:row>
    <x:row r="41" spans="1:44">
      <x:c r="A41" s="54" t="s">
        <x:v>270</x:v>
      </x:c>
      <x:c r="B41" s="94"/>
      <x:c r="C41" s="74"/>
      <x:c r="D41" s="74"/>
      <x:c r="E41" s="74"/>
      <x:c r="F41" s="74"/>
      <x:c r="G41" s="74"/>
      <x:c r="H41" s="74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545"/>
      <x:c r="S41" s="105"/>
      <x:c r="T41" s="105"/>
      <x:c r="U41" s="105"/>
      <x:c r="V41" s="105"/>
      <x:c r="W41" s="105"/>
      <x:c r="X41" s="105"/>
      <x:c r="Y41" s="105"/>
      <x:c r="Z41" s="105"/>
      <x:c r="AA41" s="105"/>
      <x:c r="AB41" s="105"/>
      <x:c r="AC41" s="105"/>
      <x:c r="AD41" s="105"/>
      <x:c r="AE41" s="105"/>
      <x:c r="AF41" s="105"/>
      <x:c r="AG41" s="105"/>
      <x:c r="AH41" s="105"/>
      <x:c r="AI41" s="105"/>
      <x:c r="AJ41" s="105"/>
      <x:c r="AK41" s="105"/>
      <x:c r="AL41" s="105"/>
      <x:c r="AM41" s="54"/>
      <x:c r="AN41" s="54"/>
      <x:c r="AO41" s="54"/>
      <x:c r="AP41" s="54"/>
      <x:c r="AQ41" s="54"/>
      <x:c r="AR41" s="54"/>
    </x:row>
    <x:row r="42" spans="1:44" ht="16.75" customHeight="1">
      <x:c r="A42" s="1115">
        <x:v>0.29166666666666669</x:v>
      </x:c>
      <x:c r="B42" s="163"/>
      <x:c r="C42" s="170"/>
      <x:c r="D42" s="171"/>
      <x:c r="E42" s="45"/>
      <x:c r="F42" s="45"/>
      <x:c r="G42" s="45"/>
      <x:c r="H42" s="45"/>
      <x:c r="I42" s="274"/>
      <x:c r="J42" s="307"/>
      <x:c r="K42" s="307"/>
      <x:c r="L42" s="307"/>
      <x:c r="M42" s="134"/>
      <x:c r="N42" s="274" t="s">
        <x:v>211</x:v>
      </x:c>
      <x:c r="O42" s="307"/>
      <x:c r="P42" s="307"/>
      <x:c r="Q42" s="593"/>
      <x:c r="R42" s="541"/>
      <x:c r="S42" s="1144" t="s">
        <x:v>27</x:v>
      </x:c>
      <x:c r="T42" s="1145"/>
      <x:c r="U42" s="1145"/>
      <x:c r="V42" s="1145"/>
      <x:c r="W42" s="1146"/>
      <x:c r="X42" s="1144" t="s">
        <x:v>27</x:v>
      </x:c>
      <x:c r="Y42" s="1145"/>
      <x:c r="Z42" s="1145"/>
      <x:c r="AA42" s="1145"/>
      <x:c r="AB42" s="1146"/>
      <x:c r="AC42" s="1144" t="s">
        <x:v>27</x:v>
      </x:c>
      <x:c r="AD42" s="1145"/>
      <x:c r="AE42" s="1145"/>
      <x:c r="AF42" s="1145"/>
      <x:c r="AG42" s="1146"/>
      <x:c r="AH42" s="57"/>
      <x:c r="AI42" s="57"/>
      <x:c r="AJ42" s="57"/>
      <x:c r="AK42" s="57"/>
      <x:c r="AL42" s="101"/>
      <x:c r="AM42" s="1118"/>
      <x:c r="AN42" s="1119"/>
      <x:c r="AO42" s="1119"/>
      <x:c r="AP42" s="1119"/>
      <x:c r="AQ42" s="1119"/>
      <x:c r="AR42" s="1120"/>
    </x:row>
    <x:row r="43" spans="1:44">
      <x:c r="A43" s="1116"/>
      <x:c r="B43" s="173"/>
      <x:c r="C43" s="71"/>
      <x:c r="D43" s="172"/>
      <x:c r="E43" s="52"/>
      <x:c r="F43" s="52"/>
      <x:c r="G43" s="52"/>
      <x:c r="H43" s="52"/>
      <x:c r="I43" s="275"/>
      <x:c r="J43" s="306"/>
      <x:c r="K43" s="306"/>
      <x:c r="L43" s="306"/>
      <x:c r="M43" s="135"/>
      <x:c r="N43" s="279" t="s">
        <x:v>211</x:v>
      </x:c>
      <x:c r="O43" s="306"/>
      <x:c r="P43" s="306"/>
      <x:c r="Q43" s="302"/>
      <x:c r="R43" s="542"/>
      <x:c r="S43" s="1147"/>
      <x:c r="T43" s="1148"/>
      <x:c r="U43" s="1148"/>
      <x:c r="V43" s="1148"/>
      <x:c r="W43" s="1149"/>
      <x:c r="X43" s="1147"/>
      <x:c r="Y43" s="1148"/>
      <x:c r="Z43" s="1148"/>
      <x:c r="AA43" s="1148"/>
      <x:c r="AB43" s="1149"/>
      <x:c r="AC43" s="1147"/>
      <x:c r="AD43" s="1148"/>
      <x:c r="AE43" s="1148"/>
      <x:c r="AF43" s="1148"/>
      <x:c r="AG43" s="1149"/>
      <x:c r="AH43" s="71"/>
      <x:c r="AI43" s="71"/>
      <x:c r="AJ43" s="71"/>
      <x:c r="AK43" s="71"/>
      <x:c r="AL43" s="102"/>
      <x:c r="AM43" s="1135"/>
      <x:c r="AN43" s="1136"/>
      <x:c r="AO43" s="1136"/>
      <x:c r="AP43" s="1136"/>
      <x:c r="AQ43" s="1136"/>
      <x:c r="AR43" s="1137"/>
    </x:row>
    <x:row r="44" spans="1:44">
      <x:c r="A44" s="1116"/>
      <x:c r="B44" s="173"/>
      <x:c r="C44" s="53"/>
      <x:c r="D44" s="174"/>
      <x:c r="E44" s="52"/>
      <x:c r="F44" s="52"/>
      <x:c r="G44" s="52"/>
      <x:c r="H44" s="52"/>
      <x:c r="I44" s="275" t="s">
        <x:v>243</x:v>
      </x:c>
      <x:c r="J44" s="154"/>
      <x:c r="K44" s="154"/>
      <x:c r="L44" s="154"/>
      <x:c r="M44" s="135"/>
      <x:c r="N44" s="288"/>
      <x:c r="O44" s="306" t="s">
        <x:v>317</x:v>
      </x:c>
      <x:c r="P44" s="306" t="s">
        <x:v>268</x:v>
      </x:c>
      <x:c r="Q44" s="306" t="s">
        <x:v>304</x:v>
      </x:c>
      <x:c r="R44" s="542"/>
      <x:c r="S44" s="1147"/>
      <x:c r="T44" s="1148"/>
      <x:c r="U44" s="1148"/>
      <x:c r="V44" s="1148"/>
      <x:c r="W44" s="1149"/>
      <x:c r="X44" s="1147"/>
      <x:c r="Y44" s="1148"/>
      <x:c r="Z44" s="1148"/>
      <x:c r="AA44" s="1148"/>
      <x:c r="AB44" s="1149"/>
      <x:c r="AC44" s="1147"/>
      <x:c r="AD44" s="1148"/>
      <x:c r="AE44" s="1148"/>
      <x:c r="AF44" s="1148"/>
      <x:c r="AG44" s="1149"/>
      <x:c r="AH44" s="71"/>
      <x:c r="AI44" s="71"/>
      <x:c r="AJ44" s="71"/>
      <x:c r="AK44" s="71"/>
      <x:c r="AL44" s="102"/>
      <x:c r="AM44" s="1029"/>
      <x:c r="AN44" s="1030"/>
      <x:c r="AO44" s="1030"/>
      <x:c r="AP44" s="1030"/>
      <x:c r="AQ44" s="1030"/>
      <x:c r="AR44" s="1031"/>
    </x:row>
    <x:row r="45" spans="1:47">
      <x:c r="A45" s="1116"/>
      <x:c r="B45" s="72"/>
      <x:c r="C45" s="71"/>
      <x:c r="D45" s="175"/>
      <x:c r="E45" s="79"/>
      <x:c r="F45" s="79"/>
      <x:c r="G45" s="79"/>
      <x:c r="H45" s="79"/>
      <x:c r="I45" s="275"/>
      <x:c r="J45" s="306"/>
      <x:c r="K45" s="306"/>
      <x:c r="L45" s="306"/>
      <x:c r="M45" s="135"/>
      <x:c r="N45" s="275" t="s">
        <x:v>46</x:v>
      </x:c>
      <x:c r="O45" s="306" t="s">
        <x:v>62</x:v>
      </x:c>
      <x:c r="P45" s="306"/>
      <x:c r="Q45" s="306"/>
      <x:c r="R45" s="542"/>
      <x:c r="S45" s="1147"/>
      <x:c r="T45" s="1148"/>
      <x:c r="U45" s="1148"/>
      <x:c r="V45" s="1148"/>
      <x:c r="W45" s="1149"/>
      <x:c r="X45" s="1147"/>
      <x:c r="Y45" s="1148"/>
      <x:c r="Z45" s="1148"/>
      <x:c r="AA45" s="1148"/>
      <x:c r="AB45" s="1149"/>
      <x:c r="AC45" s="1147"/>
      <x:c r="AD45" s="1148"/>
      <x:c r="AE45" s="1148"/>
      <x:c r="AF45" s="1148"/>
      <x:c r="AG45" s="1149"/>
      <x:c r="AH45" s="71"/>
      <x:c r="AI45" s="71"/>
      <x:c r="AJ45" s="71"/>
      <x:c r="AK45" s="71"/>
      <x:c r="AL45" s="102"/>
      <x:c r="AM45" s="1029"/>
      <x:c r="AN45" s="1030"/>
      <x:c r="AO45" s="1030"/>
      <x:c r="AP45" s="1030"/>
      <x:c r="AQ45" s="1030"/>
      <x:c r="AR45" s="1031"/>
      <x:c r="AU45" s="298"/>
    </x:row>
    <x:row r="46" spans="1:44">
      <x:c r="A46" s="1116"/>
      <x:c r="B46" s="72"/>
      <x:c r="C46" s="71"/>
      <x:c r="D46" s="53"/>
      <x:c r="E46" s="79"/>
      <x:c r="F46" s="79"/>
      <x:c r="G46" s="79"/>
      <x:c r="H46" s="79"/>
      <x:c r="I46" s="277" t="s">
        <x:v>396</x:v>
      </x:c>
      <x:c r="J46" s="86"/>
      <x:c r="K46" s="308" t="s">
        <x:v>249</x:v>
      </x:c>
      <x:c r="L46" s="308" t="s">
        <x:v>171</x:v>
      </x:c>
      <x:c r="M46" s="136"/>
      <x:c r="N46" s="277"/>
      <x:c r="O46" s="308"/>
      <x:c r="P46" s="155"/>
      <x:c r="Q46" s="308" t="s">
        <x:v>280</x:v>
      </x:c>
      <x:c r="R46" s="543"/>
      <x:c r="S46" s="1147"/>
      <x:c r="T46" s="1148"/>
      <x:c r="U46" s="1148"/>
      <x:c r="V46" s="1148"/>
      <x:c r="W46" s="1149"/>
      <x:c r="X46" s="1147"/>
      <x:c r="Y46" s="1148"/>
      <x:c r="Z46" s="1148"/>
      <x:c r="AA46" s="1148"/>
      <x:c r="AB46" s="1149"/>
      <x:c r="AC46" s="1147"/>
      <x:c r="AD46" s="1148"/>
      <x:c r="AE46" s="1148"/>
      <x:c r="AF46" s="1148"/>
      <x:c r="AG46" s="1149"/>
      <x:c r="AH46" s="77"/>
      <x:c r="AI46" s="77"/>
      <x:c r="AJ46" s="77"/>
      <x:c r="AK46" s="77"/>
      <x:c r="AL46" s="103"/>
      <x:c r="AM46" s="1032"/>
      <x:c r="AN46" s="1033"/>
      <x:c r="AO46" s="1033"/>
      <x:c r="AP46" s="1033"/>
      <x:c r="AQ46" s="1033"/>
      <x:c r="AR46" s="1034"/>
    </x:row>
    <x:row r="47" spans="1:44" ht="16.75">
      <x:c r="A47" s="1117"/>
      <x:c r="B47" s="88"/>
      <x:c r="C47" s="80"/>
      <x:c r="D47" s="73"/>
      <x:c r="E47" s="49"/>
      <x:c r="F47" s="49"/>
      <x:c r="G47" s="49"/>
      <x:c r="H47" s="49"/>
      <x:c r="I47" s="116"/>
      <x:c r="J47" s="80"/>
      <x:c r="K47" s="311" t="s">
        <x:v>224</x:v>
      </x:c>
      <x:c r="L47" s="311" t="s">
        <x:v>370</x:v>
      </x:c>
      <x:c r="M47" s="137"/>
      <x:c r="N47" s="116"/>
      <x:c r="O47" s="311" t="s">
        <x:v>272</x:v>
      </x:c>
      <x:c r="P47" s="80"/>
      <x:c r="Q47" s="80"/>
      <x:c r="R47" s="544"/>
      <x:c r="S47" s="1147"/>
      <x:c r="T47" s="1148"/>
      <x:c r="U47" s="1148"/>
      <x:c r="V47" s="1148"/>
      <x:c r="W47" s="1149"/>
      <x:c r="X47" s="1147"/>
      <x:c r="Y47" s="1148"/>
      <x:c r="Z47" s="1148"/>
      <x:c r="AA47" s="1148"/>
      <x:c r="AB47" s="1149"/>
      <x:c r="AC47" s="1147"/>
      <x:c r="AD47" s="1148"/>
      <x:c r="AE47" s="1148"/>
      <x:c r="AF47" s="1148"/>
      <x:c r="AG47" s="1149"/>
      <x:c r="AH47" s="80"/>
      <x:c r="AI47" s="80"/>
      <x:c r="AJ47" s="80"/>
      <x:c r="AK47" s="80"/>
      <x:c r="AL47" s="104"/>
      <x:c r="AM47" s="1035"/>
      <x:c r="AN47" s="1036"/>
      <x:c r="AO47" s="1036"/>
      <x:c r="AP47" s="1036"/>
      <x:c r="AQ47" s="1036"/>
      <x:c r="AR47" s="1037"/>
    </x:row>
    <x:row r="48" spans="1:44">
      <x:c r="A48" s="54"/>
      <x:c r="B48" s="83"/>
      <x:c r="C48" s="54"/>
      <x:c r="D48" s="54"/>
      <x:c r="E48" s="54"/>
      <x:c r="F48" s="54"/>
      <x:c r="G48" s="54"/>
      <x:c r="H48" s="54"/>
      <x:c r="I48" s="54"/>
      <x:c r="J48" s="54"/>
      <x:c r="K48" s="54"/>
      <x:c r="L48" s="393" t="s">
        <x:v>402</x:v>
      </x:c>
      <x:c r="M48" s="54"/>
      <x:c r="N48" s="54"/>
      <x:c r="O48" s="54"/>
      <x:c r="P48" s="54"/>
      <x:c r="Q48" s="54"/>
      <x:c r="R48" s="550"/>
      <x:c r="S48" s="1150"/>
      <x:c r="T48" s="1151"/>
      <x:c r="U48" s="1151"/>
      <x:c r="V48" s="1151"/>
      <x:c r="W48" s="1152"/>
      <x:c r="X48" s="1150"/>
      <x:c r="Y48" s="1151"/>
      <x:c r="Z48" s="1151"/>
      <x:c r="AA48" s="1151"/>
      <x:c r="AB48" s="1152"/>
      <x:c r="AC48" s="1150"/>
      <x:c r="AD48" s="1151"/>
      <x:c r="AE48" s="1151"/>
      <x:c r="AF48" s="1151"/>
      <x:c r="AG48" s="1152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</x:row>
    <x:row r="49" spans="1:44" s="1" customFormat="1">
      <x:c r="A49" s="54"/>
      <x:c r="B49" s="83"/>
      <x:c r="C49" s="54"/>
      <x:c r="D49" s="54"/>
      <x:c r="E49" s="54"/>
      <x:c r="F49" s="54"/>
      <x:c r="G49" s="54"/>
      <x:c r="H49" s="54"/>
      <x:c r="I49" s="54"/>
      <x:c r="J49" s="54"/>
      <x:c r="K49" s="54"/>
      <x:c r="L49" s="393"/>
      <x:c r="M49" s="54"/>
      <x:c r="N49" s="54"/>
      <x:c r="O49" s="54"/>
      <x:c r="P49" s="54"/>
      <x:c r="Q49" s="54"/>
      <x:c r="R49" s="550"/>
      <x:c r="S49" s="872"/>
      <x:c r="T49" s="872"/>
      <x:c r="U49" s="872"/>
      <x:c r="V49" s="872"/>
      <x:c r="W49" s="872"/>
      <x:c r="X49" s="872"/>
      <x:c r="Y49" s="872"/>
      <x:c r="Z49" s="872"/>
      <x:c r="AA49" s="872"/>
      <x:c r="AB49" s="872"/>
      <x:c r="AC49" s="872"/>
      <x:c r="AD49" s="872"/>
      <x:c r="AE49" s="872"/>
      <x:c r="AF49" s="872"/>
      <x:c r="AG49" s="872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</x:row>
    <x:row r="50" spans="1:44">
      <x:c r="A50" s="1021" t="s">
        <x:v>189</x:v>
      </x:c>
      <x:c r="B50" s="1021">
        <x:f>COUNTA(B6:$B$47)</x:f>
        <x:v>13</x:v>
      </x:c>
      <x:c r="C50" s="43"/>
      <x:c r="D50" s="1021"/>
      <x:c r="E50" s="1021">
        <x:f>COUNTIF(E4:E47,"=y")</x:f>
        <x:v>0</x:v>
      </x:c>
      <x:c r="F50" s="1021">
        <x:f>COUNTIF(F4:F47,"=y")</x:f>
        <x:v>0</x:v>
      </x:c>
      <x:c r="G50" s="1021">
        <x:f>COUNTIF(G4:G47,"=y")</x:f>
        <x:v>0</x:v>
      </x:c>
      <x:c r="H50" s="1021">
        <x:f>COUNTIF(H4:H47,"=y")</x:f>
        <x:v>0</x:v>
      </x:c>
      <x:c r="I50" s="1020"/>
      <x:c r="J50" s="1020"/>
      <x:c r="K50" s="1020"/>
      <x:c r="L50" s="1020"/>
      <x:c r="M50" s="1020"/>
      <x:c r="N50" s="1020"/>
      <x:c r="O50" s="1020"/>
      <x:c r="P50" s="1020"/>
      <x:c r="Q50" s="1020"/>
      <x:c r="R50" s="1114"/>
      <x:c r="S50" s="1020"/>
      <x:c r="T50" s="1020"/>
      <x:c r="U50" s="1020"/>
      <x:c r="V50" s="1020"/>
      <x:c r="W50" s="1020"/>
      <x:c r="X50" s="1020"/>
      <x:c r="Y50" s="1020"/>
      <x:c r="Z50" s="1020"/>
      <x:c r="AA50" s="1020"/>
      <x:c r="AB50" s="1020"/>
      <x:c r="AC50" s="1020"/>
      <x:c r="AD50" s="1020"/>
      <x:c r="AE50" s="1020"/>
      <x:c r="AF50" s="1020"/>
      <x:c r="AG50" s="1020"/>
      <x:c r="AH50" s="1020"/>
      <x:c r="AI50" s="1020"/>
      <x:c r="AJ50" s="1020"/>
      <x:c r="AK50" s="1020"/>
      <x:c r="AL50" s="1020"/>
      <x:c r="AM50" s="54"/>
      <x:c r="AN50" s="54"/>
      <x:c r="AO50" s="54"/>
      <x:c r="AP50" s="54"/>
      <x:c r="AQ50" s="54"/>
      <x:c r="AR50" s="54"/>
    </x:row>
    <x:row r="51" spans="1:44">
      <x:c r="A51" s="1021"/>
      <x:c r="B51" s="1021"/>
      <x:c r="C51" s="43"/>
      <x:c r="D51" s="1021"/>
      <x:c r="E51" s="1021"/>
      <x:c r="F51" s="1021"/>
      <x:c r="G51" s="1021"/>
      <x:c r="H51" s="1021"/>
      <x:c r="I51" s="1020"/>
      <x:c r="J51" s="1020"/>
      <x:c r="K51" s="1020"/>
      <x:c r="L51" s="1020"/>
      <x:c r="M51" s="1020"/>
      <x:c r="N51" s="1020"/>
      <x:c r="O51" s="1020"/>
      <x:c r="P51" s="1020"/>
      <x:c r="Q51" s="1020"/>
      <x:c r="R51" s="1114"/>
      <x:c r="S51" s="1020"/>
      <x:c r="T51" s="1020"/>
      <x:c r="U51" s="1020"/>
      <x:c r="V51" s="1020"/>
      <x:c r="W51" s="1020"/>
      <x:c r="X51" s="1020"/>
      <x:c r="Y51" s="1020"/>
      <x:c r="Z51" s="1020"/>
      <x:c r="AA51" s="1020"/>
      <x:c r="AB51" s="1020"/>
      <x:c r="AC51" s="1020"/>
      <x:c r="AD51" s="1020"/>
      <x:c r="AE51" s="1020"/>
      <x:c r="AF51" s="1020"/>
      <x:c r="AG51" s="1020"/>
      <x:c r="AH51" s="1020"/>
      <x:c r="AI51" s="1020"/>
      <x:c r="AJ51" s="1020"/>
      <x:c r="AK51" s="1020"/>
      <x:c r="AL51" s="1020"/>
      <x:c r="AM51" s="54"/>
      <x:c r="AN51" s="54"/>
      <x:c r="AO51" s="54"/>
      <x:c r="AP51" s="54"/>
      <x:c r="AQ51" s="54"/>
      <x:c r="AR51" s="54"/>
    </x:row>
  </x:sheetData>
  <x:mergeCells count="99">
    <x:mergeCell ref="AL50:AL51"/>
    <x:mergeCell ref="AF50:AF51"/>
    <x:mergeCell ref="AG50:AG51"/>
    <x:mergeCell ref="AH50:AH51"/>
    <x:mergeCell ref="AI50:AI51"/>
    <x:mergeCell ref="AJ50:AJ51"/>
    <x:mergeCell ref="AK50:AK51"/>
    <x:mergeCell ref="Z50:Z51"/>
    <x:mergeCell ref="AA50:AA51"/>
    <x:mergeCell ref="AB50:AB51"/>
    <x:mergeCell ref="AC50:AC51"/>
    <x:mergeCell ref="AD50:AD51"/>
    <x:mergeCell ref="AE50:AE51"/>
    <x:mergeCell ref="T50:T51"/>
    <x:mergeCell ref="U50:U51"/>
    <x:mergeCell ref="V50:V51"/>
    <x:mergeCell ref="W50:W51"/>
    <x:mergeCell ref="X50:X51"/>
    <x:mergeCell ref="Y50:Y51"/>
    <x:mergeCell ref="N50:N51"/>
    <x:mergeCell ref="O50:O51"/>
    <x:mergeCell ref="P50:P51"/>
    <x:mergeCell ref="Q50:Q51"/>
    <x:mergeCell ref="R50:R51"/>
    <x:mergeCell ref="S50:S51"/>
    <x:mergeCell ref="H50:H51"/>
    <x:mergeCell ref="I50:I51"/>
    <x:mergeCell ref="J50:J51"/>
    <x:mergeCell ref="K50:K51"/>
    <x:mergeCell ref="L50:L51"/>
    <x:mergeCell ref="M50:M51"/>
    <x:mergeCell ref="A50:A51"/>
    <x:mergeCell ref="B50:B51"/>
    <x:mergeCell ref="D50:D51"/>
    <x:mergeCell ref="E50:E51"/>
    <x:mergeCell ref="F50:F51"/>
    <x:mergeCell ref="G50:G51"/>
    <x:mergeCell ref="A42:A47"/>
    <x:mergeCell ref="AM42:AR42"/>
    <x:mergeCell ref="AM44:AR44"/>
    <x:mergeCell ref="AM45:AR45"/>
    <x:mergeCell ref="AM46:AR46"/>
    <x:mergeCell ref="AM47:AR47"/>
    <x:mergeCell ref="A35:A40"/>
    <x:mergeCell ref="AM36:AR36"/>
    <x:mergeCell ref="AM37:AR37"/>
    <x:mergeCell ref="AM38:AR38"/>
    <x:mergeCell ref="AM39:AR39"/>
    <x:mergeCell ref="AM40:AR40"/>
    <x:mergeCell ref="C2:C4"/>
    <x:mergeCell ref="D2:D4"/>
    <x:mergeCell ref="I2:AL2"/>
    <x:mergeCell ref="AM2:AR4"/>
    <x:mergeCell ref="I3:M3"/>
    <x:mergeCell ref="N3:R3"/>
    <x:mergeCell ref="AM28:AR28"/>
    <x:mergeCell ref="AM20:AR20"/>
    <x:mergeCell ref="AM21:AR21"/>
    <x:mergeCell ref="AM26:AR26"/>
    <x:mergeCell ref="S3:W3"/>
    <x:mergeCell ref="X3:AB3"/>
    <x:mergeCell ref="A1:M1"/>
    <x:mergeCell ref="N1:Q1"/>
    <x:mergeCell ref="R1:V1"/>
    <x:mergeCell ref="W1:AA1"/>
    <x:mergeCell ref="AB1:AM1"/>
    <x:mergeCell ref="AN1:AR1"/>
    <x:mergeCell ref="AM13:AR13"/>
    <x:mergeCell ref="AM14:AR14"/>
    <x:mergeCell ref="AM15:AR15"/>
    <x:mergeCell ref="AM17:AR17"/>
    <x:mergeCell ref="AM18:AR18"/>
    <x:mergeCell ref="AC3:AG3"/>
    <x:mergeCell ref="AH3:AL3"/>
    <x:mergeCell ref="A6:A11"/>
    <x:mergeCell ref="AM6:AR6"/>
    <x:mergeCell ref="AM7:AR7"/>
    <x:mergeCell ref="AM8:AR8"/>
    <x:mergeCell ref="AM9:AR9"/>
    <x:mergeCell ref="AM10:AR10"/>
    <x:mergeCell ref="AM11:AR11"/>
    <x:mergeCell ref="A2:A4"/>
    <x:mergeCell ref="B2:B4"/>
    <x:mergeCell ref="A20:A25"/>
    <x:mergeCell ref="A13:A18"/>
    <x:mergeCell ref="A28:A33"/>
    <x:mergeCell ref="AM29:AR29"/>
    <x:mergeCell ref="AM30:AR30"/>
    <x:mergeCell ref="AM31:AR31"/>
    <x:mergeCell ref="AM16:AR16"/>
    <x:mergeCell ref="AM43:AR43"/>
    <x:mergeCell ref="AM35:AR35"/>
    <x:mergeCell ref="AM22:AR22"/>
    <x:mergeCell ref="AM23:AR23"/>
    <x:mergeCell ref="AM32:AR32"/>
    <x:mergeCell ref="AM33:AR33"/>
    <x:mergeCell ref="S42:W48"/>
    <x:mergeCell ref="X42:AB48"/>
    <x:mergeCell ref="AC42:AG48"/>
  </x:mergeCells>
  <x:conditionalFormatting sqref="E8:E10">
    <x:cfRule type="containsText" dxfId="93" priority="77" stopIfTrue="1" operator="containsText" text="N">
      <x:formula>NOT(ISERROR(FIND(UPPER("N"),UPPER(E8))))</x:formula>
      <x:formula>"N"</x:formula>
    </x:cfRule>
  </x:conditionalFormatting>
  <x:conditionalFormatting sqref="E15:E18">
    <x:cfRule type="containsText" dxfId="92" priority="84" stopIfTrue="1" operator="containsText" text="N">
      <x:formula>NOT(ISERROR(FIND(UPPER("N"),UPPER(E15))))</x:formula>
      <x:formula>"N"</x:formula>
    </x:cfRule>
  </x:conditionalFormatting>
  <x:conditionalFormatting sqref="E20:E20">
    <x:cfRule type="containsText" dxfId="91" priority="82" stopIfTrue="1" operator="containsText" text="N">
      <x:formula>NOT(ISERROR(FIND(UPPER("N"),UPPER(E20))))</x:formula>
      <x:formula>"N"</x:formula>
    </x:cfRule>
  </x:conditionalFormatting>
  <x:conditionalFormatting sqref="E28:F28">
    <x:cfRule type="containsText" dxfId="90" priority="85" stopIfTrue="1" operator="containsText" text="N">
      <x:formula>NOT(ISERROR(FIND(UPPER("N"),UPPER(E28))))</x:formula>
      <x:formula>"N"</x:formula>
    </x:cfRule>
  </x:conditionalFormatting>
  <x:conditionalFormatting sqref="E36:H40">
    <x:cfRule type="containsText" dxfId="89" priority="80" stopIfTrue="1" operator="containsText" text="N">
      <x:formula>NOT(ISERROR(FIND(UPPER("N"),UPPER(E36))))</x:formula>
      <x:formula>"N"</x:formula>
    </x:cfRule>
  </x:conditionalFormatting>
  <x:conditionalFormatting sqref="E42:H47">
    <x:cfRule type="containsText" dxfId="88" priority="81" stopIfTrue="1" operator="containsText" text="N">
      <x:formula>NOT(ISERROR(FIND(UPPER("N"),UPPER(E42))))</x:formula>
      <x:formula>"N"</x:formula>
    </x:cfRule>
  </x:conditionalFormatting>
  <x:conditionalFormatting sqref="Q7:Q7">
    <x:cfRule type="containsText" dxfId="87" priority="74" stopIfTrue="1" operator="containsText" text="N">
      <x:formula>NOT(ISERROR(FIND(UPPER("N"),UPPER(Q7))))</x:formula>
      <x:formula>"N"</x:formula>
    </x:cfRule>
  </x:conditionalFormatting>
  <x:conditionalFormatting sqref="Q14:Q14">
    <x:cfRule type="containsText" dxfId="86" priority="67" stopIfTrue="1" operator="containsText" text="N">
      <x:formula>NOT(ISERROR(FIND(UPPER("N"),UPPER(Q14))))</x:formula>
      <x:formula>"N"</x:formula>
    </x:cfRule>
  </x:conditionalFormatting>
  <x:conditionalFormatting sqref="Q36:Q36">
    <x:cfRule type="containsText" dxfId="85" priority="39" stopIfTrue="1" operator="containsText" text="N">
      <x:formula>NOT(ISERROR(FIND(UPPER("N"),UPPER(Q36))))</x:formula>
      <x:formula>"N"</x:formula>
    </x:cfRule>
  </x:conditionalFormatting>
  <x:conditionalFormatting sqref="Q43:Q43">
    <x:cfRule type="containsText" dxfId="84" priority="32" stopIfTrue="1" operator="containsText" text="N">
      <x:formula>NOT(ISERROR(FIND(UPPER("N"),UPPER(Q43))))</x:formula>
      <x:formula>"N"</x:formula>
    </x:cfRule>
  </x:conditionalFormatting>
  <x:conditionalFormatting sqref="Q6:S6 I7:M7 I8:Q11">
    <x:cfRule type="containsText" dxfId="83" priority="75" stopIfTrue="1" operator="containsText" text="N">
      <x:formula>NOT(ISERROR(FIND(UPPER("N"),UPPER(I6))))</x:formula>
      <x:formula>"N"</x:formula>
    </x:cfRule>
  </x:conditionalFormatting>
  <x:conditionalFormatting sqref="Q28:S28">
    <x:cfRule type="containsText" dxfId="80" priority="54" stopIfTrue="1" operator="containsText" text="N">
      <x:formula>NOT(ISERROR(FIND(UPPER("N"),UPPER(Q28))))</x:formula>
      <x:formula>"N"</x:formula>
    </x:cfRule>
  </x:conditionalFormatting>
  <x:conditionalFormatting sqref="I36:M36 I37:Q40">
    <x:cfRule type="containsText" dxfId="79" priority="40" stopIfTrue="1" operator="containsText" text="N">
      <x:formula>NOT(ISERROR(FIND(UPPER("N"),UPPER(I36))))</x:formula>
      <x:formula>"N"</x:formula>
    </x:cfRule>
  </x:conditionalFormatting>
  <x:conditionalFormatting sqref="Q42:R42 I43:M43 I44:Q47">
    <x:cfRule type="containsText" dxfId="78" priority="33" stopIfTrue="1" operator="containsText" text="N">
      <x:formula>NOT(ISERROR(FIND(UPPER("N"),UPPER(I42))))</x:formula>
      <x:formula>"N"</x:formula>
    </x:cfRule>
  </x:conditionalFormatting>
  <x:conditionalFormatting sqref="S7:S8">
    <x:cfRule type="containsText" dxfId="77" priority="69" stopIfTrue="1" operator="containsText" text="N">
      <x:formula>NOT(ISERROR(FIND(UPPER("N"),UPPER(S7))))</x:formula>
      <x:formula>"N"</x:formula>
    </x:cfRule>
  </x:conditionalFormatting>
  <x:conditionalFormatting sqref="S14:S15">
    <x:cfRule type="containsText" dxfId="76" priority="62" stopIfTrue="1" operator="containsText" text="N">
      <x:formula>NOT(ISERROR(FIND(UPPER("N"),UPPER(S14))))</x:formula>
      <x:formula>"N"</x:formula>
    </x:cfRule>
  </x:conditionalFormatting>
  <x:conditionalFormatting sqref="S21:S21">
    <x:cfRule type="containsText" dxfId="75" priority="55" stopIfTrue="1" operator="containsText" text="N">
      <x:formula>NOT(ISERROR(FIND(UPPER("N"),UPPER(S21))))</x:formula>
      <x:formula>"N"</x:formula>
    </x:cfRule>
  </x:conditionalFormatting>
  <x:conditionalFormatting sqref="S36:S37">
    <x:cfRule type="containsText" dxfId="74" priority="34" stopIfTrue="1" operator="containsText" text="N">
      <x:formula>NOT(ISERROR(FIND(UPPER("N"),UPPER(S36))))</x:formula>
      <x:formula>"N"</x:formula>
    </x:cfRule>
  </x:conditionalFormatting>
  <x:conditionalFormatting sqref="U8:U8">
    <x:cfRule type="containsText" dxfId="73" priority="71" stopIfTrue="1" operator="containsText" text="N">
      <x:formula>NOT(ISERROR(FIND(UPPER("N"),UPPER(U8))))</x:formula>
      <x:formula>"N"</x:formula>
    </x:cfRule>
  </x:conditionalFormatting>
  <x:conditionalFormatting sqref="U15:U15">
    <x:cfRule type="containsText" dxfId="72" priority="64" stopIfTrue="1" operator="containsText" text="N">
      <x:formula>NOT(ISERROR(FIND(UPPER("N"),UPPER(U15))))</x:formula>
      <x:formula>"N"</x:formula>
    </x:cfRule>
  </x:conditionalFormatting>
  <x:conditionalFormatting sqref="U21:U21">
    <x:cfRule type="containsText" dxfId="71" priority="57" stopIfTrue="1" operator="containsText" text="N">
      <x:formula>NOT(ISERROR(FIND(UPPER("N"),UPPER(U21))))</x:formula>
      <x:formula>"N"</x:formula>
    </x:cfRule>
  </x:conditionalFormatting>
  <x:conditionalFormatting sqref="U37:U37">
    <x:cfRule type="containsText" dxfId="70" priority="36" stopIfTrue="1" operator="containsText" text="N">
      <x:formula>NOT(ISERROR(FIND(UPPER("N"),UPPER(U37))))</x:formula>
      <x:formula>"N"</x:formula>
    </x:cfRule>
  </x:conditionalFormatting>
  <x:conditionalFormatting sqref="Q20:S20 I21:Q21 I24:I24 K24:K24 M24:Q25 I25:K25 I26:Q26">
    <x:cfRule type="containsText" dxfId="81" priority="17" stopIfTrue="1" operator="containsText" text="N">
      <x:formula>NOT(ISERROR(FIND(UPPER("N"),UPPER(I20))))</x:formula>
      <x:formula>"N"</x:formula>
    </x:cfRule>
  </x:conditionalFormatting>
  <x:conditionalFormatting sqref="J24:J24">
    <x:cfRule type="containsText" dxfId="12" priority="16" stopIfTrue="1" operator="containsText" text="N">
      <x:formula>NOT(ISERROR(FIND(UPPER("N"),UPPER(J24))))</x:formula>
      <x:formula>"N"</x:formula>
    </x:cfRule>
  </x:conditionalFormatting>
  <x:conditionalFormatting sqref="L24:L25">
    <x:cfRule type="containsText" dxfId="12" priority="15" stopIfTrue="1" operator="containsText" text="N">
      <x:formula>NOT(ISERROR(FIND(UPPER("N"),UPPER(L24))))</x:formula>
      <x:formula>"N"</x:formula>
    </x:cfRule>
  </x:conditionalFormatting>
  <x:conditionalFormatting sqref="U29:U29 S29:S29 E29:Q29">
    <x:cfRule type="containsText" dxfId="12" priority="12" stopIfTrue="1" operator="containsText" text="N">
      <x:formula>NOT(ISERROR(FIND(UPPER("N"),UPPER(E29))))</x:formula>
      <x:formula>"N"</x:formula>
    </x:cfRule>
  </x:conditionalFormatting>
  <x:conditionalFormatting sqref="E30:Q30">
    <x:cfRule type="containsText" dxfId="12" priority="11" stopIfTrue="1" operator="containsText" text="N">
      <x:formula>NOT(ISERROR(FIND(UPPER("N"),UPPER(E30))))</x:formula>
      <x:formula>"N"</x:formula>
    </x:cfRule>
  </x:conditionalFormatting>
  <x:conditionalFormatting sqref="I31:N31 P31:Q31">
    <x:cfRule type="containsText" dxfId="12" priority="10" stopIfTrue="1" operator="containsText" text="N">
      <x:formula>NOT(ISERROR(FIND(UPPER("N"),UPPER(I31))))</x:formula>
      <x:formula>"N"</x:formula>
    </x:cfRule>
  </x:conditionalFormatting>
  <x:conditionalFormatting sqref="O31:O31">
    <x:cfRule type="containsText" dxfId="12" priority="9" stopIfTrue="1" operator="containsText" text="N">
      <x:formula>NOT(ISERROR(FIND(UPPER("N"),UPPER(O31))))</x:formula>
      <x:formula>"N"</x:formula>
    </x:cfRule>
  </x:conditionalFormatting>
  <x:conditionalFormatting sqref="Q13:S13 I14:M14 I15:Q18">
    <x:cfRule type="containsText" dxfId="82" priority="8" stopIfTrue="1" operator="containsText" text="N">
      <x:formula>NOT(ISERROR(FIND(UPPER("N"),UPPER(I13))))</x:formula>
      <x:formula>"N"</x:formula>
    </x:cfRule>
  </x:conditionalFormatting>
  <x:conditionalFormatting sqref="I35:Q35">
    <x:cfRule type="containsText" dxfId="12" priority="3" stopIfTrue="1" operator="containsText" text="N">
      <x:formula>NOT(ISERROR(FIND(UPPER("N"),UPPER(I35))))</x:formula>
      <x:formula>"N"</x:formula>
    </x:cfRule>
  </x:conditionalFormatting>
  <x:conditionalFormatting sqref="I22:Q23">
    <x:cfRule type="containsText" dxfId="12" priority="2" stopIfTrue="1" operator="containsText" text="N">
      <x:formula>NOT(ISERROR(FIND(UPPER("N"),UPPER(I22))))</x:formula>
      <x:formula>"N"</x:formula>
    </x:cfRule>
  </x:conditionalFormatting>
  <x:conditionalFormatting sqref="S32:S32 Q32:Q32 E32:M32">
    <x:cfRule type="containsText" dxfId="12" priority="1" stopIfTrue="1" operator="containsText" text="N">
      <x:formula>NOT(ISERROR(FIND(UPPER("N"),UPPER(E32))))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AU51"/>
  <x:sheetViews>
    <x:sheetView topLeftCell="A1" zoomScale="82" zoomScaleNormal="82" zoomScaleSheetLayoutView="75" workbookViewId="0">
      <x:pane xSplit="2" ySplit="4" topLeftCell="C5" activePane="bottomRight" state="frozen"/>
      <x:selection pane="bottomRight" activeCell="AZ14" activeCellId="0" sqref="AZ14:AZ14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hidden="1" customWidth="1"/>
    <x:col min="6" max="8" width="5.375" style="40" hidden="1" customWidth="1"/>
    <x:col min="9" max="18" width="7.125" style="40" hidden="1" customWidth="1"/>
    <x:col min="19" max="20" width="7.125" style="40" customWidth="1"/>
    <x:col min="21" max="21" width="7.125" style="41" customWidth="1"/>
    <x:col min="22" max="33" width="7.125" style="40" customWidth="1"/>
    <x:col min="34" max="38" width="7.125" style="40" hidden="1" customWidth="1"/>
    <x:col min="39" max="42" width="5.625" style="40" customWidth="1"/>
    <x:col min="44" max="44" width="10.5" style="40" customWidth="1"/>
  </x:cols>
  <x:sheetData>
    <x:row r="1" spans="1:44" ht="25.5" customHeight="1">
      <x:c r="A1" s="1046" t="s">
        <x:v>144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 s="39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 s="39" customFormat="1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4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243</x:v>
      </x:c>
      <x:c r="J4" s="96" t="s">
        <x:v>327</x:v>
      </x:c>
      <x:c r="K4" s="96" t="s">
        <x:v>233</x:v>
      </x:c>
      <x:c r="L4" s="98" t="s">
        <x:v>309</x:v>
      </x:c>
      <x:c r="M4" s="95" t="s">
        <x:v>232</x:v>
      </x:c>
      <x:c r="N4" s="97" t="s">
        <x:v>247</x:v>
      </x:c>
      <x:c r="O4" s="96" t="s">
        <x:v>307</x:v>
      </x:c>
      <x:c r="P4" s="96" t="s">
        <x:v>333</x:v>
      </x:c>
      <x:c r="Q4" s="96" t="s">
        <x:v>329</x:v>
      </x:c>
      <x:c r="R4" s="95"/>
      <x:c r="S4" s="97" t="s">
        <x:v>317</x:v>
      </x:c>
      <x:c r="T4" s="96" t="s">
        <x:v>332</x:v>
      </x:c>
      <x:c r="U4" s="96" t="s">
        <x:v>299</x:v>
      </x:c>
      <x:c r="V4" s="96" t="s">
        <x:v>296</x:v>
      </x:c>
      <x:c r="W4" s="95" t="s">
        <x:v>283</x:v>
      </x:c>
      <x:c r="X4" s="132" t="s">
        <x:v>251</x:v>
      </x:c>
      <x:c r="Y4" s="96" t="s">
        <x:v>293</x:v>
      </x:c>
      <x:c r="Z4" s="96" t="s">
        <x:v>269</x:v>
      </x:c>
      <x:c r="AA4" s="96" t="s">
        <x:v>245</x:v>
      </x:c>
      <x:c r="AB4" s="95"/>
      <x:c r="AC4" s="97" t="s">
        <x:v>304</x:v>
      </x:c>
      <x:c r="AD4" s="96" t="s">
        <x:v>263</x:v>
      </x:c>
      <x:c r="AE4" s="96" t="s">
        <x:v>288</x:v>
      </x:c>
      <x:c r="AF4" s="96" t="s">
        <x:v>227</x:v>
      </x:c>
      <x:c r="AG4" s="95"/>
      <x:c r="AH4" s="97" t="s">
        <x:v>317</x:v>
      </x:c>
      <x:c r="AI4" s="96" t="s">
        <x:v>332</x:v>
      </x:c>
      <x:c r="AJ4" s="96" t="s">
        <x:v>299</x:v>
      </x:c>
      <x:c r="AK4" s="96" t="s">
        <x:v>296</x:v>
      </x:c>
      <x:c r="AL4" s="98" t="s">
        <x:v>283</x:v>
      </x:c>
      <x:c r="AM4" s="1072"/>
      <x:c r="AN4" s="1073"/>
      <x:c r="AO4" s="1073"/>
      <x:c r="AP4" s="1073"/>
      <x:c r="AQ4" s="1073"/>
      <x:c r="AR4" s="1074"/>
    </x:row>
    <x:row r="5" spans="1:44" ht="16.5" customHeight="1">
      <x:c r="A5" s="54"/>
      <x:c r="B5" s="83"/>
      <x:c r="C5" s="54"/>
      <x:c r="D5" s="54"/>
      <x:c r="E5" s="54"/>
      <x:c r="F5" s="54"/>
      <x:c r="G5" s="54"/>
      <x:c r="H5" s="54"/>
      <x:c r="I5" s="99"/>
      <x:c r="J5" s="99"/>
      <x:c r="K5" s="99"/>
      <x:c r="L5" s="99"/>
      <x:c r="M5" s="99"/>
      <x:c r="N5" s="105"/>
      <x:c r="O5" s="99"/>
      <x:c r="P5" s="105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100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</x:row>
    <x:row r="6" spans="1:44" ht="16.5" customHeight="1">
      <x:c r="A6" s="1081">
        <x:v>0.083333333333333329</x:v>
      </x:c>
      <x:c r="B6" s="55"/>
      <x:c r="C6" s="55"/>
      <x:c r="D6" s="55"/>
      <x:c r="E6" s="51"/>
      <x:c r="F6" s="51"/>
      <x:c r="G6" s="51"/>
      <x:c r="H6" s="51"/>
      <x:c r="I6" s="123"/>
      <x:c r="J6" s="58"/>
      <x:c r="K6" s="58"/>
      <x:c r="L6" s="58"/>
      <x:c r="M6" s="124"/>
      <x:c r="N6" s="127"/>
      <x:c r="O6" s="58"/>
      <x:c r="P6" s="58"/>
      <x:c r="Q6" s="57"/>
      <x:c r="R6" s="138"/>
      <x:c r="S6" s="119"/>
      <x:c r="T6" s="57"/>
      <x:c r="U6" s="57"/>
      <x:c r="V6" s="57"/>
      <x:c r="W6" s="121"/>
      <x:c r="X6" s="141"/>
      <x:c r="Y6" s="57"/>
      <x:c r="Z6" s="57"/>
      <x:c r="AA6" s="57"/>
      <x:c r="AB6" s="138"/>
      <x:c r="AC6" s="119"/>
      <x:c r="AD6" s="57"/>
      <x:c r="AE6" s="57"/>
      <x:c r="AF6" s="57"/>
      <x:c r="AG6" s="138"/>
      <x:c r="AH6" s="57"/>
      <x:c r="AI6" s="57"/>
      <x:c r="AJ6" s="57"/>
      <x:c r="AK6" s="57"/>
      <x:c r="AL6" s="101"/>
      <x:c r="AM6" s="1026"/>
      <x:c r="AN6" s="1027"/>
      <x:c r="AO6" s="1027"/>
      <x:c r="AP6" s="1027"/>
      <x:c r="AQ6" s="1027"/>
      <x:c r="AR6" s="1028"/>
    </x:row>
    <x:row r="7" spans="1:44" ht="17.25" customHeight="1">
      <x:c r="A7" s="1082"/>
      <x:c r="B7" s="84"/>
      <x:c r="C7" s="71"/>
      <x:c r="D7" s="66"/>
      <x:c r="E7" s="44"/>
      <x:c r="F7" s="44"/>
      <x:c r="G7" s="44"/>
      <x:c r="H7" s="44"/>
      <x:c r="I7" s="125"/>
      <x:c r="J7" s="85"/>
      <x:c r="K7" s="85"/>
      <x:c r="L7" s="85"/>
      <x:c r="M7" s="126"/>
      <x:c r="N7" s="118"/>
      <x:c r="O7" s="72"/>
      <x:c r="P7" s="72"/>
      <x:c r="Q7" s="71"/>
      <x:c r="R7" s="139"/>
      <x:c r="S7" s="120"/>
      <x:c r="T7" s="71"/>
      <x:c r="U7" s="71"/>
      <x:c r="V7" s="71"/>
      <x:c r="W7" s="122"/>
      <x:c r="X7" s="142"/>
      <x:c r="Y7" s="71"/>
      <x:c r="Z7" s="71"/>
      <x:c r="AA7" s="71"/>
      <x:c r="AB7" s="139"/>
      <x:c r="AC7" s="120"/>
      <x:c r="AD7" s="71"/>
      <x:c r="AE7" s="71"/>
      <x:c r="AF7" s="71"/>
      <x:c r="AG7" s="139"/>
      <x:c r="AH7" s="71"/>
      <x:c r="AI7" s="71"/>
      <x:c r="AJ7" s="71"/>
      <x:c r="AK7" s="71"/>
      <x:c r="AL7" s="102"/>
      <x:c r="AM7" s="1029"/>
      <x:c r="AN7" s="1030"/>
      <x:c r="AO7" s="1030"/>
      <x:c r="AP7" s="1030"/>
      <x:c r="AQ7" s="1030"/>
      <x:c r="AR7" s="1031"/>
    </x:row>
    <x:row r="8" spans="1:44" ht="17.449999999999999" customHeight="1">
      <x:c r="A8" s="1082"/>
      <x:c r="B8" s="85"/>
      <x:c r="C8" s="71"/>
      <x:c r="D8" s="66"/>
      <x:c r="E8" s="44"/>
      <x:c r="F8" s="44"/>
      <x:c r="G8" s="44"/>
      <x:c r="H8" s="44"/>
      <x:c r="I8" s="125"/>
      <x:c r="J8" s="85"/>
      <x:c r="K8" s="85"/>
      <x:c r="L8" s="85"/>
      <x:c r="M8" s="126"/>
      <x:c r="N8" s="125"/>
      <x:c r="O8" s="85"/>
      <x:c r="P8" s="85"/>
      <x:c r="Q8" s="85"/>
      <x:c r="R8" s="139"/>
      <x:c r="S8" s="120"/>
      <x:c r="T8" s="71"/>
      <x:c r="U8" s="71"/>
      <x:c r="V8" s="71"/>
      <x:c r="W8" s="122"/>
      <x:c r="X8" s="142"/>
      <x:c r="Y8" s="71"/>
      <x:c r="Z8" s="71"/>
      <x:c r="AA8" s="71"/>
      <x:c r="AB8" s="139"/>
      <x:c r="AC8" s="120"/>
      <x:c r="AD8" s="71"/>
      <x:c r="AE8" s="71"/>
      <x:c r="AF8" s="71"/>
      <x:c r="AG8" s="139"/>
      <x:c r="AH8" s="71"/>
      <x:c r="AI8" s="71"/>
      <x:c r="AJ8" s="71"/>
      <x:c r="AK8" s="71"/>
      <x:c r="AL8" s="102"/>
      <x:c r="AM8" s="1029"/>
      <x:c r="AN8" s="1030"/>
      <x:c r="AO8" s="1030"/>
      <x:c r="AP8" s="1030"/>
      <x:c r="AQ8" s="1030"/>
      <x:c r="AR8" s="1031"/>
    </x:row>
    <x:row r="9" spans="1:45" s="14" customFormat="1" ht="17.449999999999999" customHeight="1">
      <x:c r="A9" s="1081"/>
      <x:c r="B9" s="61"/>
      <x:c r="C9" s="77"/>
      <x:c r="D9" s="42"/>
      <x:c r="E9" s="47"/>
      <x:c r="F9" s="47"/>
      <x:c r="G9" s="47"/>
      <x:c r="H9" s="47"/>
      <x:c r="I9" s="90"/>
      <x:c r="J9" s="72"/>
      <x:c r="K9" s="72"/>
      <x:c r="L9" s="72"/>
      <x:c r="M9" s="126"/>
      <x:c r="N9" s="90"/>
      <x:c r="O9" s="72"/>
      <x:c r="P9" s="72"/>
      <x:c r="Q9" s="72"/>
      <x:c r="R9" s="139"/>
      <x:c r="S9" s="120"/>
      <x:c r="T9" s="71"/>
      <x:c r="U9" s="71"/>
      <x:c r="V9" s="71"/>
      <x:c r="W9" s="122"/>
      <x:c r="X9" s="142"/>
      <x:c r="Y9" s="71"/>
      <x:c r="Z9" s="71"/>
      <x:c r="AA9" s="71"/>
      <x:c r="AB9" s="139"/>
      <x:c r="AC9" s="120"/>
      <x:c r="AD9" s="71"/>
      <x:c r="AE9" s="71"/>
      <x:c r="AF9" s="71"/>
      <x:c r="AG9" s="139"/>
      <x:c r="AH9" s="71"/>
      <x:c r="AI9" s="71"/>
      <x:c r="AJ9" s="71"/>
      <x:c r="AK9" s="71"/>
      <x:c r="AL9" s="102"/>
      <x:c r="AM9" s="675"/>
      <x:c r="AN9" s="676"/>
      <x:c r="AO9" s="676"/>
      <x:c r="AP9" s="676"/>
      <x:c r="AQ9" s="676"/>
      <x:c r="AR9" s="677"/>
      <x:c r="AS9" s="4"/>
    </x:row>
    <x:row r="10" spans="1:44" ht="17.449999999999999" customHeight="1">
      <x:c r="A10" s="1082"/>
      <x:c r="B10" s="86"/>
      <x:c r="C10" s="60"/>
      <x:c r="D10" s="42"/>
      <x:c r="E10" s="47"/>
      <x:c r="F10" s="47"/>
      <x:c r="G10" s="47"/>
      <x:c r="H10" s="47"/>
      <x:c r="I10" s="125"/>
      <x:c r="J10" s="85"/>
      <x:c r="K10" s="85"/>
      <x:c r="L10" s="85"/>
      <x:c r="M10" s="126"/>
      <x:c r="N10" s="125"/>
      <x:c r="O10" s="85"/>
      <x:c r="P10" s="85"/>
      <x:c r="Q10" s="85"/>
      <x:c r="R10" s="139"/>
      <x:c r="S10" s="120"/>
      <x:c r="T10" s="71"/>
      <x:c r="U10" s="71"/>
      <x:c r="V10" s="71"/>
      <x:c r="W10" s="122"/>
      <x:c r="X10" s="142"/>
      <x:c r="Y10" s="71"/>
      <x:c r="Z10" s="71"/>
      <x:c r="AA10" s="71"/>
      <x:c r="AB10" s="139"/>
      <x:c r="AC10" s="120"/>
      <x:c r="AD10" s="71"/>
      <x:c r="AE10" s="71"/>
      <x:c r="AF10" s="71"/>
      <x:c r="AG10" s="139"/>
      <x:c r="AH10" s="71"/>
      <x:c r="AI10" s="71"/>
      <x:c r="AJ10" s="71"/>
      <x:c r="AK10" s="71"/>
      <x:c r="AL10" s="102"/>
      <x:c r="AM10" s="1029"/>
      <x:c r="AN10" s="1030"/>
      <x:c r="AO10" s="1030"/>
      <x:c r="AP10" s="1030"/>
      <x:c r="AQ10" s="1030"/>
      <x:c r="AR10" s="1031"/>
    </x:row>
    <x:row r="11" spans="1:44" ht="17.449999999999999" customHeight="1">
      <x:c r="A11" s="1083"/>
      <x:c r="B11" s="86"/>
      <x:c r="C11" s="60"/>
      <x:c r="D11" s="42"/>
      <x:c r="E11" s="47"/>
      <x:c r="F11" s="47"/>
      <x:c r="G11" s="47"/>
      <x:c r="H11" s="47"/>
      <x:c r="I11" s="91"/>
      <x:c r="J11" s="61"/>
      <x:c r="K11" s="61"/>
      <x:c r="L11" s="61"/>
      <x:c r="M11" s="129"/>
      <x:c r="N11" s="91"/>
      <x:c r="O11" s="61"/>
      <x:c r="P11" s="61"/>
      <x:c r="Q11" s="111"/>
      <x:c r="R11" s="140"/>
      <x:c r="S11" s="114"/>
      <x:c r="T11" s="77"/>
      <x:c r="U11" s="77"/>
      <x:c r="V11" s="77"/>
      <x:c r="W11" s="115"/>
      <x:c r="X11" s="143"/>
      <x:c r="Y11" s="77"/>
      <x:c r="Z11" s="77"/>
      <x:c r="AA11" s="77"/>
      <x:c r="AB11" s="140"/>
      <x:c r="AC11" s="114"/>
      <x:c r="AD11" s="77"/>
      <x:c r="AE11" s="77"/>
      <x:c r="AF11" s="77"/>
      <x:c r="AG11" s="140"/>
      <x:c r="AH11" s="77"/>
      <x:c r="AI11" s="77"/>
      <x:c r="AJ11" s="77"/>
      <x:c r="AK11" s="77"/>
      <x:c r="AL11" s="103"/>
      <x:c r="AM11" s="1057"/>
      <x:c r="AN11" s="1058"/>
      <x:c r="AO11" s="1058"/>
      <x:c r="AP11" s="1058"/>
      <x:c r="AQ11" s="1058"/>
      <x:c r="AR11" s="1059"/>
    </x:row>
    <x:row r="12" spans="1:44">
      <x:c r="A12" s="54" t="s">
        <x:v>270</x:v>
      </x:c>
      <x:c r="B12" s="94"/>
      <x:c r="C12" s="74"/>
      <x:c r="D12" s="74"/>
      <x:c r="E12" s="74"/>
      <x:c r="F12" s="74"/>
      <x:c r="G12" s="74"/>
      <x:c r="H12" s="74"/>
      <x:c r="I12" s="105"/>
      <x:c r="J12" s="105"/>
      <x:c r="K12" s="105"/>
      <x:c r="L12" s="105"/>
      <x:c r="M12" s="105"/>
      <x:c r="N12" s="112"/>
      <x:c r="O12" s="105"/>
      <x:c r="P12" s="105"/>
      <x:c r="Q12" s="105"/>
      <x:c r="R12" s="105"/>
      <x:c r="S12" s="105"/>
      <x:c r="T12" s="105"/>
      <x:c r="U12" s="105"/>
      <x:c r="V12" s="105"/>
      <x:c r="W12" s="105"/>
      <x:c r="X12" s="105"/>
      <x:c r="Y12" s="105"/>
      <x:c r="Z12" s="105"/>
      <x:c r="AA12" s="105"/>
      <x:c r="AB12" s="105"/>
      <x:c r="AC12" s="105"/>
      <x:c r="AD12" s="105"/>
      <x:c r="AE12" s="105"/>
      <x:c r="AF12" s="105"/>
      <x:c r="AG12" s="105"/>
      <x:c r="AH12" s="105"/>
      <x:c r="AI12" s="105"/>
      <x:c r="AJ12" s="105"/>
      <x:c r="AK12" s="105"/>
      <x:c r="AL12" s="105"/>
      <x:c r="AM12" s="54"/>
      <x:c r="AN12" s="54"/>
      <x:c r="AO12" s="54"/>
      <x:c r="AP12" s="54"/>
      <x:c r="AQ12" s="54"/>
      <x:c r="AR12" s="54"/>
    </x:row>
    <x:row r="13" spans="1:46" ht="16.5" customHeight="1">
      <x:c r="A13" s="1054" t="s">
        <x:v>139</x:v>
      </x:c>
      <x:c r="B13" s="720" t="s">
        <x:v>343</x:v>
      </x:c>
      <x:c r="C13" s="55" t="s">
        <x:v>159</x:v>
      </x:c>
      <x:c r="D13" s="613" t="s">
        <x:v>375</x:v>
      </x:c>
      <x:c r="E13" s="253"/>
      <x:c r="F13" s="44"/>
      <x:c r="G13" s="44"/>
      <x:c r="H13" s="722"/>
      <x:c r="I13" s="274"/>
      <x:c r="J13" s="307"/>
      <x:c r="K13" s="307"/>
      <x:c r="L13" s="307"/>
      <x:c r="M13" s="304"/>
      <x:c r="N13" s="274"/>
      <x:c r="O13" s="153"/>
      <x:c r="P13" s="307"/>
      <x:c r="Q13" s="593"/>
      <x:c r="R13" s="138"/>
      <x:c r="S13" s="665"/>
      <x:c r="T13" s="593"/>
      <x:c r="U13" s="593"/>
      <x:c r="V13" s="593"/>
      <x:c r="W13" s="606" t="s">
        <x:v>101</x:v>
      </x:c>
      <x:c r="X13" s="141"/>
      <x:c r="Y13" s="593"/>
      <x:c r="Z13" s="593"/>
      <x:c r="AA13" s="593"/>
      <x:c r="AB13" s="138"/>
      <x:c r="AC13" s="292"/>
      <x:c r="AD13" s="71"/>
      <x:c r="AE13" s="71"/>
      <x:c r="AF13" s="71"/>
      <x:c r="AG13" s="139"/>
      <x:c r="AH13" s="71"/>
      <x:c r="AI13" s="71"/>
      <x:c r="AJ13" s="71"/>
      <x:c r="AK13" s="71"/>
      <x:c r="AL13" s="102"/>
      <x:c r="AM13" s="1026" t="s">
        <x:v>32</x:v>
      </x:c>
      <x:c r="AN13" s="1027"/>
      <x:c r="AO13" s="1027"/>
      <x:c r="AP13" s="1027"/>
      <x:c r="AQ13" s="1027"/>
      <x:c r="AR13" s="1028"/>
      <x:c r="AS13" s="886" t="s">
        <x:v>306</x:v>
      </x:c>
      <x:c r="AT13" s="286"/>
    </x:row>
    <x:row r="14" spans="1:46" ht="17.25" customHeight="1">
      <x:c r="A14" s="1055"/>
      <x:c r="B14" s="473" t="s">
        <x:v>223</x:v>
      </x:c>
      <x:c r="C14" s="173" t="s">
        <x:v>184</x:v>
      </x:c>
      <x:c r="D14" s="181" t="s">
        <x:v>375</x:v>
      </x:c>
      <x:c r="E14" s="253"/>
      <x:c r="F14" s="44"/>
      <x:c r="G14" s="44"/>
      <x:c r="H14" s="722"/>
      <x:c r="I14" s="275"/>
      <x:c r="J14" s="306"/>
      <x:c r="K14" s="306"/>
      <x:c r="L14" s="306"/>
      <x:c r="M14" s="135"/>
      <x:c r="N14" s="275" t="s">
        <x:v>45</x:v>
      </x:c>
      <x:c r="O14" s="306"/>
      <x:c r="P14" s="306"/>
      <x:c r="Q14" s="306"/>
      <x:c r="R14" s="139"/>
      <x:c r="S14" s="292"/>
      <x:c r="T14" s="535" t="s">
        <x:v>119</x:v>
      </x:c>
      <x:c r="U14" s="146" t="s">
        <x:v>331</x:v>
      </x:c>
      <x:c r="V14" s="302"/>
      <x:c r="W14" s="605" t="s">
        <x:v>101</x:v>
      </x:c>
      <x:c r="X14" s="142"/>
      <x:c r="Y14" s="302"/>
      <x:c r="Z14" s="302"/>
      <x:c r="AA14" s="302"/>
      <x:c r="AB14" s="139"/>
      <x:c r="AC14" s="292"/>
      <x:c r="AD14" s="71"/>
      <x:c r="AE14" s="71"/>
      <x:c r="AF14" s="71"/>
      <x:c r="AG14" s="139"/>
      <x:c r="AH14" s="71"/>
      <x:c r="AI14" s="71"/>
      <x:c r="AJ14" s="71"/>
      <x:c r="AK14" s="71"/>
      <x:c r="AL14" s="102"/>
      <x:c r="AM14" s="1029"/>
      <x:c r="AN14" s="1030"/>
      <x:c r="AO14" s="1030"/>
      <x:c r="AP14" s="1030"/>
      <x:c r="AQ14" s="1030"/>
      <x:c r="AR14" s="1031"/>
      <x:c r="AS14" s="286" t="s">
        <x:v>43</x:v>
      </x:c>
      <x:c r="AT14" s="286" t="s">
        <x:v>145</x:v>
      </x:c>
    </x:row>
    <x:row r="15" spans="1:46" ht="17.449999999999999" customHeight="1">
      <x:c r="A15" s="1055"/>
      <x:c r="B15" s="473" t="s">
        <x:v>380</x:v>
      </x:c>
      <x:c r="C15" s="173" t="s">
        <x:v>275</x:v>
      </x:c>
      <x:c r="D15" s="181" t="s">
        <x:v>375</x:v>
      </x:c>
      <x:c r="E15" s="255"/>
      <x:c r="F15" s="47"/>
      <x:c r="G15" s="47"/>
      <x:c r="H15" s="305"/>
      <x:c r="I15" s="275"/>
      <x:c r="J15" s="306"/>
      <x:c r="K15" s="306"/>
      <x:c r="L15" s="306" t="s">
        <x:v>279</x:v>
      </x:c>
      <x:c r="M15" s="135"/>
      <x:c r="N15" s="275"/>
      <x:c r="O15" s="306"/>
      <x:c r="P15" s="306"/>
      <x:c r="Q15" s="306" t="s">
        <x:v>66</x:v>
      </x:c>
      <x:c r="R15" s="139"/>
      <x:c r="S15" s="292"/>
      <x:c r="T15" s="302"/>
      <x:c r="U15" s="302"/>
      <x:c r="V15" s="302"/>
      <x:c r="W15" s="605" t="s">
        <x:v>101</x:v>
      </x:c>
      <x:c r="X15" s="142"/>
      <x:c r="Y15" s="302"/>
      <x:c r="Z15" s="302"/>
      <x:c r="AA15" s="302" t="s">
        <x:v>265</x:v>
      </x:c>
      <x:c r="AB15" s="139"/>
      <x:c r="AC15" s="292"/>
      <x:c r="AD15" s="71"/>
      <x:c r="AE15" s="71"/>
      <x:c r="AF15" s="71"/>
      <x:c r="AG15" s="139"/>
      <x:c r="AH15" s="71"/>
      <x:c r="AI15" s="71"/>
      <x:c r="AJ15" s="71"/>
      <x:c r="AK15" s="71"/>
      <x:c r="AL15" s="102"/>
      <x:c r="AM15" s="1029" t="s">
        <x:v>23</x:v>
      </x:c>
      <x:c r="AN15" s="1030"/>
      <x:c r="AO15" s="1030"/>
      <x:c r="AP15" s="1030"/>
      <x:c r="AQ15" s="1030"/>
      <x:c r="AR15" s="1031"/>
      <x:c r="AS15" s="286" t="s">
        <x:v>43</x:v>
      </x:c>
      <x:c r="AT15" s="286" t="s">
        <x:v>145</x:v>
      </x:c>
    </x:row>
    <x:row r="16" spans="1:46" ht="17.449999999999999" customHeight="1">
      <x:c r="A16" s="1055"/>
      <x:c r="B16" s="90" t="s">
        <x:v>219</x:v>
      </x:c>
      <x:c r="C16" s="53" t="s">
        <x:v>275</x:v>
      </x:c>
      <x:c r="D16" s="187" t="s">
        <x:v>378</x:v>
      </x:c>
      <x:c r="E16" s="218"/>
      <x:c r="F16" s="56"/>
      <x:c r="G16" s="56"/>
      <x:c r="H16" s="219"/>
      <x:c r="I16" s="275"/>
      <x:c r="J16" s="306"/>
      <x:c r="K16" s="306"/>
      <x:c r="L16" s="306"/>
      <x:c r="M16" s="135"/>
      <x:c r="N16" s="275"/>
      <x:c r="O16" s="535" t="s">
        <x:v>331</x:v>
      </x:c>
      <x:c r="P16" s="154" t="s">
        <x:v>331</x:v>
      </x:c>
      <x:c r="Q16" s="721"/>
      <x:c r="R16" s="139"/>
      <x:c r="S16" s="292"/>
      <x:c r="T16" s="535" t="s">
        <x:v>119</x:v>
      </x:c>
      <x:c r="U16" s="535" t="s">
        <x:v>119</x:v>
      </x:c>
      <x:c r="V16" s="781"/>
      <x:c r="W16" s="793" t="s">
        <x:v>119</x:v>
      </x:c>
      <x:c r="X16" s="142"/>
      <x:c r="Y16" s="302"/>
      <x:c r="Z16" s="302"/>
      <x:c r="AA16" s="302"/>
      <x:c r="AB16" s="139"/>
      <x:c r="AC16" s="280"/>
      <x:c r="AD16" s="80"/>
      <x:c r="AE16" s="80"/>
      <x:c r="AF16" s="80"/>
      <x:c r="AG16" s="137"/>
      <x:c r="AH16" s="80"/>
      <x:c r="AI16" s="80"/>
      <x:c r="AJ16" s="80"/>
      <x:c r="AK16" s="80"/>
      <x:c r="AL16" s="104"/>
      <x:c r="AM16" s="1029"/>
      <x:c r="AN16" s="1030"/>
      <x:c r="AO16" s="1030"/>
      <x:c r="AP16" s="1030"/>
      <x:c r="AQ16" s="1030"/>
      <x:c r="AR16" s="1031"/>
      <x:c r="AS16" s="286" t="s">
        <x:v>43</x:v>
      </x:c>
      <x:c r="AT16" s="286"/>
    </x:row>
    <x:row r="17" spans="1:46" ht="17.449999999999999" customHeight="1">
      <x:c r="A17" s="1055"/>
      <x:c r="B17" s="90" t="s">
        <x:v>392</x:v>
      </x:c>
      <x:c r="C17" s="53" t="s">
        <x:v>172</x:v>
      </x:c>
      <x:c r="D17" s="187" t="s">
        <x:v>375</x:v>
      </x:c>
      <x:c r="E17" s="728"/>
      <x:c r="F17" s="247"/>
      <x:c r="G17" s="247"/>
      <x:c r="H17" s="723"/>
      <x:c r="I17" s="297" t="s">
        <x:v>106</x:v>
      </x:c>
      <x:c r="J17" s="306"/>
      <x:c r="K17" s="306"/>
      <x:c r="L17" s="306"/>
      <x:c r="M17" s="135"/>
      <x:c r="N17" s="275" t="s">
        <x:v>124</x:v>
      </x:c>
      <x:c r="O17" s="306"/>
      <x:c r="P17" s="306"/>
      <x:c r="Q17" s="721"/>
      <x:c r="R17" s="139"/>
      <x:c r="S17" s="292"/>
      <x:c r="T17" s="302"/>
      <x:c r="U17" s="302"/>
      <x:c r="V17" s="302"/>
      <x:c r="W17" s="605" t="s">
        <x:v>101</x:v>
      </x:c>
      <x:c r="X17" s="142"/>
      <x:c r="Y17" s="302"/>
      <x:c r="Z17" s="302"/>
      <x:c r="AA17" s="302"/>
      <x:c r="AB17" s="139"/>
      <x:c r="AC17" s="1019"/>
      <x:c r="AD17" s="245"/>
      <x:c r="AE17" s="245"/>
      <x:c r="AF17" s="245"/>
      <x:c r="AG17" s="244"/>
      <x:c r="AH17" s="245"/>
      <x:c r="AI17" s="245"/>
      <x:c r="AJ17" s="245"/>
      <x:c r="AK17" s="245"/>
      <x:c r="AL17" s="248"/>
      <x:c r="AM17" s="1099"/>
      <x:c r="AN17" s="1100"/>
      <x:c r="AO17" s="1100"/>
      <x:c r="AP17" s="1100"/>
      <x:c r="AQ17" s="1100"/>
      <x:c r="AR17" s="1101"/>
      <x:c r="AS17" s="286" t="s">
        <x:v>43</x:v>
      </x:c>
      <x:c r="AT17" s="286" t="s">
        <x:v>145</x:v>
      </x:c>
    </x:row>
    <x:row r="18" spans="1:46" s="38" customFormat="1" ht="17.449999999999999" customHeight="1">
      <x:c r="A18" s="1056"/>
      <x:c r="B18" s="90" t="s">
        <x:v>206</x:v>
      </x:c>
      <x:c r="C18" s="71" t="s">
        <x:v>159</x:v>
      </x:c>
      <x:c r="D18" s="187" t="s">
        <x:v>378</x:v>
      </x:c>
      <x:c r="E18" s="255"/>
      <x:c r="F18" s="47"/>
      <x:c r="G18" s="47"/>
      <x:c r="H18" s="305"/>
      <x:c r="I18" s="90"/>
      <x:c r="J18" s="72"/>
      <x:c r="K18" s="72"/>
      <x:c r="L18" s="72"/>
      <x:c r="M18" s="126"/>
      <x:c r="N18" s="275" t="s">
        <x:v>197</x:v>
      </x:c>
      <x:c r="O18" s="306" t="s">
        <x:v>197</x:v>
      </x:c>
      <x:c r="P18" s="306" t="s">
        <x:v>197</x:v>
      </x:c>
      <x:c r="Q18" s="306" t="s">
        <x:v>197</x:v>
      </x:c>
      <x:c r="R18" s="139"/>
      <x:c r="S18" s="292" t="s">
        <x:v>323</x:v>
      </x:c>
      <x:c r="T18" s="302"/>
      <x:c r="U18" s="535" t="s">
        <x:v>59</x:v>
      </x:c>
      <x:c r="V18" s="302"/>
      <x:c r="W18" s="605" t="s">
        <x:v>101</x:v>
      </x:c>
      <x:c r="X18" s="142"/>
      <x:c r="Y18" s="302"/>
      <x:c r="Z18" s="302"/>
      <x:c r="AA18" s="302" t="s">
        <x:v>238</x:v>
      </x:c>
      <x:c r="AB18" s="139"/>
      <x:c r="AC18" s="1340" t="s">
        <x:v>310</x:v>
      </x:c>
      <x:c r="AD18" s="77"/>
      <x:c r="AE18" s="77"/>
      <x:c r="AF18" s="77"/>
      <x:c r="AG18" s="140"/>
      <x:c r="AH18" s="77"/>
      <x:c r="AI18" s="77"/>
      <x:c r="AJ18" s="77"/>
      <x:c r="AK18" s="77"/>
      <x:c r="AL18" s="103"/>
      <x:c r="AM18" s="1099" t="s">
        <x:v>423</x:v>
      </x:c>
      <x:c r="AN18" s="1100"/>
      <x:c r="AO18" s="1100"/>
      <x:c r="AP18" s="1100"/>
      <x:c r="AQ18" s="1100"/>
      <x:c r="AR18" s="1101"/>
      <x:c r="AS18" s="286" t="s">
        <x:v>43</x:v>
      </x:c>
      <x:c r="AT18" s="286"/>
    </x:row>
    <x:row r="19" spans="1:46" s="38" customFormat="1" ht="17.449999999999999" customHeight="1">
      <x:c r="A19" s="1056"/>
      <x:c r="B19" s="725"/>
      <x:c r="C19" s="388"/>
      <x:c r="D19" s="729"/>
      <x:c r="E19" s="730"/>
      <x:c r="F19" s="716"/>
      <x:c r="G19" s="716"/>
      <x:c r="H19" s="724"/>
      <x:c r="I19" s="725"/>
      <x:c r="J19" s="726"/>
      <x:c r="K19" s="726"/>
      <x:c r="L19" s="726"/>
      <x:c r="M19" s="451"/>
      <x:c r="N19" s="725"/>
      <x:c r="O19" s="726"/>
      <x:c r="P19" s="726"/>
      <x:c r="Q19" s="727"/>
      <x:c r="R19" s="389"/>
      <x:c r="S19" s="387"/>
      <x:c r="T19" s="388"/>
      <x:c r="U19" s="388"/>
      <x:c r="V19" s="388"/>
      <x:c r="W19" s="389"/>
      <x:c r="X19" s="387"/>
      <x:c r="Y19" s="388"/>
      <x:c r="Z19" s="388"/>
      <x:c r="AA19" s="388"/>
      <x:c r="AB19" s="389"/>
      <x:c r="AC19" s="382"/>
      <x:c r="AD19" s="383"/>
      <x:c r="AE19" s="383"/>
      <x:c r="AF19" s="383"/>
      <x:c r="AG19" s="384"/>
      <x:c r="AH19" s="383"/>
      <x:c r="AI19" s="383"/>
      <x:c r="AJ19" s="383"/>
      <x:c r="AK19" s="383"/>
      <x:c r="AL19" s="718"/>
      <x:c r="AM19" s="1084"/>
      <x:c r="AN19" s="1085"/>
      <x:c r="AO19" s="1085"/>
      <x:c r="AP19" s="1085"/>
      <x:c r="AQ19" s="1085"/>
      <x:c r="AR19" s="1086"/>
      <x:c r="AS19" s="719"/>
      <x:c r="AT19" s="719"/>
    </x:row>
    <x:row r="20" spans="1:44" ht="17.149999999999999">
      <x:c r="A20" s="868"/>
      <x:c r="B20" s="107"/>
      <x:c r="C20" s="108"/>
      <x:c r="D20" s="108"/>
      <x:c r="E20" s="109"/>
      <x:c r="F20" s="109"/>
      <x:c r="G20" s="109"/>
      <x:c r="H20" s="109"/>
      <x:c r="I20" s="110"/>
      <x:c r="J20" s="105"/>
      <x:c r="K20" s="105"/>
      <x:c r="L20" s="105"/>
      <x:c r="M20" s="105"/>
      <x:c r="N20" s="112"/>
      <x:c r="O20" s="105"/>
      <x:c r="P20" s="105"/>
      <x:c r="Q20" s="105"/>
      <x:c r="R20" s="105"/>
      <x:c r="S20" s="105"/>
      <x:c r="T20" s="337" t="s">
        <x:v>38</x:v>
      </x:c>
      <x:c r="U20" s="105"/>
      <x:c r="V20" s="105"/>
      <x:c r="W20" s="105"/>
      <x:c r="X20" s="105"/>
      <x:c r="Y20" s="105"/>
      <x:c r="Z20" s="236"/>
      <x:c r="AA20" s="105"/>
      <x:c r="AB20" s="105"/>
      <x:c r="AC20" s="105"/>
      <x:c r="AD20" s="105"/>
      <x:c r="AE20" s="105"/>
      <x:c r="AF20" s="105"/>
      <x:c r="AG20" s="105"/>
      <x:c r="AH20" s="105"/>
      <x:c r="AI20" s="105"/>
      <x:c r="AJ20" s="105"/>
      <x:c r="AK20" s="105"/>
      <x:c r="AL20" s="105"/>
      <x:c r="AM20" s="54"/>
      <x:c r="AN20" s="54"/>
      <x:c r="AO20" s="54"/>
      <x:c r="AP20" s="54"/>
      <x:c r="AQ20" s="54"/>
      <x:c r="AR20" s="54"/>
    </x:row>
    <x:row r="21" spans="1:46" ht="16.5" customHeight="1">
      <x:c r="A21" s="1096">
        <x:v>0.16666666666666666</x:v>
      </x:c>
      <x:c r="B21" s="57" t="s">
        <x:v>393</x:v>
      </x:c>
      <x:c r="C21" s="188" t="s">
        <x:v>275</x:v>
      </x:c>
      <x:c r="D21" s="189" t="s">
        <x:v>378</x:v>
      </x:c>
      <x:c r="E21" s="46"/>
      <x:c r="F21" s="46"/>
      <x:c r="G21" s="46"/>
      <x:c r="H21" s="45"/>
      <x:c r="I21" s="274"/>
      <x:c r="J21" s="307"/>
      <x:c r="K21" s="307"/>
      <x:c r="L21" s="307"/>
      <x:c r="M21" s="134"/>
      <x:c r="N21" s="444"/>
      <x:c r="O21" s="307"/>
      <x:c r="P21" s="307"/>
      <x:c r="Q21" s="593"/>
      <x:c r="R21" s="138"/>
      <x:c r="S21" s="665"/>
      <x:c r="T21" s="593"/>
      <x:c r="U21" s="593"/>
      <x:c r="V21" s="593"/>
      <x:c r="W21" s="891" t="s">
        <x:v>109</x:v>
      </x:c>
      <x:c r="X21" s="141"/>
      <x:c r="Y21" s="593"/>
      <x:c r="Z21" s="894" t="s">
        <x:v>114</x:v>
      </x:c>
      <x:c r="AA21" s="145"/>
      <x:c r="AB21" s="138"/>
      <x:c r="AC21" s="665"/>
      <x:c r="AD21" s="57"/>
      <x:c r="AE21" s="57"/>
      <x:c r="AF21" s="57"/>
      <x:c r="AG21" s="138"/>
      <x:c r="AH21" s="57"/>
      <x:c r="AI21" s="57"/>
      <x:c r="AJ21" s="57"/>
      <x:c r="AK21" s="57"/>
      <x:c r="AL21" s="101"/>
      <x:c r="AM21" s="1087" t="s">
        <x:v>21</x:v>
      </x:c>
      <x:c r="AN21" s="1088"/>
      <x:c r="AO21" s="1088"/>
      <x:c r="AP21" s="1088"/>
      <x:c r="AQ21" s="1088"/>
      <x:c r="AR21" s="1089"/>
      <x:c r="AS21" s="286" t="s">
        <x:v>43</x:v>
      </x:c>
      <x:c r="AT21" s="286"/>
    </x:row>
    <x:row r="22" spans="1:46" ht="17.449999999999999" customHeight="1">
      <x:c r="A22" s="1097"/>
      <x:c r="B22" s="53" t="s">
        <x:v>355</x:v>
      </x:c>
      <x:c r="C22" s="53" t="s">
        <x:v>367</x:v>
      </x:c>
      <x:c r="D22" s="166" t="s">
        <x:v>378</x:v>
      </x:c>
      <x:c r="E22" s="47"/>
      <x:c r="F22" s="47"/>
      <x:c r="G22" s="47"/>
      <x:c r="H22" s="47"/>
      <x:c r="I22" s="275"/>
      <x:c r="J22" s="306"/>
      <x:c r="K22" s="306"/>
      <x:c r="L22" s="306"/>
      <x:c r="M22" s="135"/>
      <x:c r="N22" s="275"/>
      <x:c r="O22" s="306"/>
      <x:c r="P22" s="306"/>
      <x:c r="Q22" s="302"/>
      <x:c r="R22" s="139"/>
      <x:c r="S22" s="292"/>
      <x:c r="T22" s="302"/>
      <x:c r="U22" s="302"/>
      <x:c r="V22" s="302"/>
      <x:c r="W22" s="605" t="s">
        <x:v>101</x:v>
      </x:c>
      <x:c r="X22" s="142"/>
      <x:c r="Y22" s="302"/>
      <x:c r="Z22" s="302"/>
      <x:c r="AA22" s="302"/>
      <x:c r="AB22" s="139"/>
      <x:c r="AC22" s="292"/>
      <x:c r="AD22" s="71"/>
      <x:c r="AE22" s="71"/>
      <x:c r="AF22" s="71"/>
      <x:c r="AG22" s="139"/>
      <x:c r="AH22" s="71"/>
      <x:c r="AI22" s="71"/>
      <x:c r="AJ22" s="71"/>
      <x:c r="AK22" s="71"/>
      <x:c r="AL22" s="102"/>
      <x:c r="AM22" s="1029" t="s">
        <x:v>26</x:v>
      </x:c>
      <x:c r="AN22" s="1030"/>
      <x:c r="AO22" s="1030"/>
      <x:c r="AP22" s="1030"/>
      <x:c r="AQ22" s="1030"/>
      <x:c r="AR22" s="1031"/>
      <x:c r="AS22" s="286" t="s">
        <x:v>43</x:v>
      </x:c>
      <x:c r="AT22" s="286"/>
    </x:row>
    <x:row r="23" spans="1:46" ht="17.449999999999999" customHeight="1">
      <x:c r="A23" s="1097"/>
      <x:c r="B23" s="72" t="s">
        <x:v>188</x:v>
      </x:c>
      <x:c r="C23" s="72" t="s">
        <x:v>275</x:v>
      </x:c>
      <x:c r="D23" s="640" t="s">
        <x:v>375</x:v>
      </x:c>
      <x:c r="E23" s="47"/>
      <x:c r="F23" s="47"/>
      <x:c r="G23" s="47"/>
      <x:c r="H23" s="47"/>
      <x:c r="I23" s="275"/>
      <x:c r="J23" s="306"/>
      <x:c r="K23" s="306"/>
      <x:c r="L23" s="306"/>
      <x:c r="M23" s="135"/>
      <x:c r="N23" s="275"/>
      <x:c r="O23" s="306"/>
      <x:c r="P23" s="306"/>
      <x:c r="Q23" s="306"/>
      <x:c r="R23" s="139"/>
      <x:c r="S23" s="292"/>
      <x:c r="T23" s="302"/>
      <x:c r="U23" s="302"/>
      <x:c r="V23" s="302"/>
      <x:c r="W23" s="605" t="s">
        <x:v>101</x:v>
      </x:c>
      <x:c r="X23" s="142"/>
      <x:c r="Y23" s="302"/>
      <x:c r="Z23" s="302"/>
      <x:c r="AA23" s="302" t="s">
        <x:v>303</x:v>
      </x:c>
      <x:c r="AB23" s="139"/>
      <x:c r="AC23" s="292"/>
      <x:c r="AD23" s="71"/>
      <x:c r="AE23" s="71"/>
      <x:c r="AF23" s="71"/>
      <x:c r="AG23" s="139"/>
      <x:c r="AH23" s="71"/>
      <x:c r="AI23" s="71"/>
      <x:c r="AJ23" s="71"/>
      <x:c r="AK23" s="71"/>
      <x:c r="AL23" s="102"/>
      <x:c r="AM23" s="1029" t="s">
        <x:v>427</x:v>
      </x:c>
      <x:c r="AN23" s="1030"/>
      <x:c r="AO23" s="1030"/>
      <x:c r="AP23" s="1030"/>
      <x:c r="AQ23" s="1030"/>
      <x:c r="AR23" s="1031"/>
      <x:c r="AS23" s="286" t="s">
        <x:v>43</x:v>
      </x:c>
      <x:c r="AT23" s="286" t="s">
        <x:v>145</x:v>
      </x:c>
    </x:row>
    <x:row r="24" spans="1:46" ht="17.449999999999999" customHeight="1">
      <x:c r="A24" s="1097"/>
      <x:c r="B24" s="201" t="s">
        <x:v>177</x:v>
      </x:c>
      <x:c r="C24" s="53" t="s">
        <x:v>237</x:v>
      </x:c>
      <x:c r="D24" s="187" t="s">
        <x:v>378</x:v>
      </x:c>
      <x:c r="E24" s="716"/>
      <x:c r="F24" s="716"/>
      <x:c r="G24" s="716"/>
      <x:c r="H24" s="716"/>
      <x:c r="I24" s="473"/>
      <x:c r="J24" s="173"/>
      <x:c r="K24" s="173"/>
      <x:c r="L24" s="173"/>
      <x:c r="M24" s="775"/>
      <x:c r="N24" s="473"/>
      <x:c r="O24" s="173"/>
      <x:c r="P24" s="173"/>
      <x:c r="Q24" s="173"/>
      <x:c r="R24" s="678"/>
      <x:c r="S24" s="411" t="s">
        <x:v>205</x:v>
      </x:c>
      <x:c r="T24" s="334" t="s">
        <x:v>111</x:v>
      </x:c>
      <x:c r="U24" s="776" t="s">
        <x:v>177</x:v>
      </x:c>
      <x:c r="V24" s="334"/>
      <x:c r="W24" s="605" t="s">
        <x:v>101</x:v>
      </x:c>
      <x:c r="X24" s="142"/>
      <x:c r="Y24" s="302"/>
      <x:c r="Z24" s="302"/>
      <x:c r="AA24" s="302"/>
      <x:c r="AB24" s="678"/>
      <x:c r="AC24" s="686" t="s">
        <x:v>156</x:v>
      </x:c>
      <x:c r="AD24" s="385"/>
      <x:c r="AE24" s="385"/>
      <x:c r="AF24" s="385"/>
      <x:c r="AG24" s="139"/>
      <x:c r="AH24" s="385"/>
      <x:c r="AI24" s="385"/>
      <x:c r="AJ24" s="385"/>
      <x:c r="AK24" s="385"/>
      <x:c r="AL24" s="386"/>
      <x:c r="AM24" s="1029" t="s">
        <x:v>6</x:v>
      </x:c>
      <x:c r="AN24" s="1030"/>
      <x:c r="AO24" s="1030"/>
      <x:c r="AP24" s="1030"/>
      <x:c r="AQ24" s="1030"/>
      <x:c r="AR24" s="1031"/>
      <x:c r="AS24" s="286" t="s">
        <x:v>43</x:v>
      </x:c>
      <x:c r="AT24" s="286" t="s">
        <x:v>145</x:v>
      </x:c>
    </x:row>
    <x:row r="25" spans="1:46" ht="17.449999999999999" customHeight="1">
      <x:c r="A25" s="1097"/>
      <x:c r="B25" s="623" t="s">
        <x:v>321</x:v>
      </x:c>
      <x:c r="C25" s="866" t="s">
        <x:v>184</x:v>
      </x:c>
      <x:c r="D25" s="867" t="s">
        <x:v>375</x:v>
      </x:c>
      <x:c r="E25" s="716"/>
      <x:c r="F25" s="716"/>
      <x:c r="G25" s="716"/>
      <x:c r="H25" s="716"/>
      <x:c r="I25" s="381"/>
      <x:c r="J25" s="320"/>
      <x:c r="K25" s="320"/>
      <x:c r="L25" s="320"/>
      <x:c r="M25" s="717"/>
      <x:c r="N25" s="381"/>
      <x:c r="O25" s="320"/>
      <x:c r="P25" s="320"/>
      <x:c r="Q25" s="428"/>
      <x:c r="R25" s="384"/>
      <x:c r="S25" s="382"/>
      <x:c r="T25" s="383"/>
      <x:c r="U25" s="383"/>
      <x:c r="V25" s="383"/>
      <x:c r="W25" s="678"/>
      <x:c r="X25" s="356" t="s">
        <x:v>71</x:v>
      </x:c>
      <x:c r="Y25" s="357" t="s">
        <x:v>41</x:v>
      </x:c>
      <x:c r="Z25" s="357"/>
      <x:c r="AA25" s="357"/>
      <x:c r="AB25" s="140"/>
      <x:c r="AC25" s="356"/>
      <x:c r="AD25" s="383"/>
      <x:c r="AE25" s="383"/>
      <x:c r="AF25" s="383"/>
      <x:c r="AG25" s="140"/>
      <x:c r="AH25" s="383"/>
      <x:c r="AI25" s="383"/>
      <x:c r="AJ25" s="383"/>
      <x:c r="AK25" s="383"/>
      <x:c r="AL25" s="718"/>
      <x:c r="AM25" s="1043" t="s">
        <x:v>433</x:v>
      </x:c>
      <x:c r="AN25" s="1044"/>
      <x:c r="AO25" s="1044"/>
      <x:c r="AP25" s="1044"/>
      <x:c r="AQ25" s="1044"/>
      <x:c r="AR25" s="1045"/>
      <x:c r="AS25" s="286" t="s">
        <x:v>43</x:v>
      </x:c>
      <x:c r="AT25" s="286" t="s">
        <x:v>145</x:v>
      </x:c>
    </x:row>
    <x:row r="26" spans="1:46" s="29" customFormat="1" ht="17.449999999999999" customHeight="1">
      <x:c r="A26" s="1098"/>
      <x:c r="B26" s="461" t="s">
        <x:v>222</x:v>
      </x:c>
      <x:c r="C26" s="461" t="s">
        <x:v>184</x:v>
      </x:c>
      <x:c r="D26" s="462" t="s">
        <x:v>378</x:v>
      </x:c>
      <x:c r="E26" s="463"/>
      <x:c r="F26" s="463"/>
      <x:c r="G26" s="463"/>
      <x:c r="H26" s="463"/>
      <x:c r="I26" s="461"/>
      <x:c r="J26" s="461"/>
      <x:c r="K26" s="461"/>
      <x:c r="L26" s="464" t="s">
        <x:v>373</x:v>
      </x:c>
      <x:c r="M26" s="258"/>
      <x:c r="N26" s="464" t="s">
        <x:v>173</x:v>
      </x:c>
      <x:c r="O26" s="464" t="s">
        <x:v>380</x:v>
      </x:c>
      <x:c r="P26" s="461"/>
      <x:c r="Q26" s="309" t="s">
        <x:v>225</x:v>
      </x:c>
      <x:c r="R26" s="137"/>
      <x:c r="S26" s="461"/>
      <x:c r="T26" s="461"/>
      <x:c r="U26" s="777"/>
      <x:c r="V26" s="461"/>
      <x:c r="W26" s="794" t="s">
        <x:v>83</x:v>
      </x:c>
      <x:c r="X26" s="465"/>
      <x:c r="Y26" s="461"/>
      <x:c r="Z26" s="464" t="s">
        <x:v>272</x:v>
      </x:c>
      <x:c r="AA26" s="464" t="s">
        <x:v>323</x:v>
      </x:c>
      <x:c r="AB26" s="465"/>
      <x:c r="AC26" s="1341" t="s">
        <x:v>388</x:v>
      </x:c>
      <x:c r="AD26" s="467"/>
      <x:c r="AE26" s="467"/>
      <x:c r="AF26" s="467"/>
      <x:c r="AG26" s="468"/>
      <x:c r="AH26" s="466"/>
      <x:c r="AI26" s="467"/>
      <x:c r="AJ26" s="467"/>
      <x:c r="AK26" s="467"/>
      <x:c r="AL26" s="469"/>
      <x:c r="AM26" s="1111" t="s">
        <x:v>20</x:v>
      </x:c>
      <x:c r="AN26" s="1112"/>
      <x:c r="AO26" s="1112"/>
      <x:c r="AP26" s="1112"/>
      <x:c r="AQ26" s="1112"/>
      <x:c r="AR26" s="1113"/>
      <x:c r="AS26" s="286" t="s">
        <x:v>43</x:v>
      </x:c>
      <x:c r="AT26" s="286" t="s">
        <x:v>145</x:v>
      </x:c>
    </x:row>
    <x:row r="27" spans="1:44" ht="16.75">
      <x:c r="A27" s="54" t="s">
        <x:v>270</x:v>
      </x:c>
      <x:c r="B27" s="94"/>
      <x:c r="C27" s="74"/>
      <x:c r="D27" s="74"/>
      <x:c r="E27" s="74"/>
      <x:c r="F27" s="74"/>
      <x:c r="G27" s="74"/>
      <x:c r="H27" s="74"/>
      <x:c r="I27" s="105"/>
      <x:c r="J27" s="105"/>
      <x:c r="K27" s="105"/>
      <x:c r="L27" s="361" t="s">
        <x:v>197</x:v>
      </x:c>
      <x:c r="M27" s="105"/>
      <x:c r="N27" s="105"/>
      <x:c r="O27" s="105"/>
      <x:c r="P27" s="105"/>
      <x:c r="Q27" s="105"/>
      <x:c r="R27" s="105"/>
      <x:c r="S27" s="105"/>
      <x:c r="T27" s="670"/>
      <x:c r="U27" s="105"/>
      <x:c r="V27" s="105"/>
      <x:c r="W27" s="105"/>
      <x:c r="X27" s="105"/>
      <x:c r="Y27" s="105"/>
      <x:c r="Z27" s="105"/>
      <x:c r="AA27" s="105"/>
      <x:c r="AB27" s="105"/>
      <x:c r="AC27" s="105"/>
      <x:c r="AD27" s="105"/>
      <x:c r="AE27" s="105"/>
      <x:c r="AF27" s="105"/>
      <x:c r="AG27" s="105"/>
      <x:c r="AH27" s="105"/>
      <x:c r="AI27" s="105"/>
      <x:c r="AJ27" s="105"/>
      <x:c r="AK27" s="105"/>
      <x:c r="AL27" s="105"/>
      <x:c r="AM27" s="54"/>
      <x:c r="AN27" s="54"/>
      <x:c r="AO27" s="54"/>
      <x:c r="AP27" s="54"/>
      <x:c r="AQ27" s="54"/>
      <x:c r="AR27" s="54"/>
    </x:row>
    <x:row r="28" spans="1:46" ht="16.5" customHeight="1">
      <x:c r="A28" s="1039" t="s">
        <x:v>146</x:v>
      </x:c>
      <x:c r="B28" s="229" t="s">
        <x:v>370</x:v>
      </x:c>
      <x:c r="C28" s="617" t="s">
        <x:v>275</x:v>
      </x:c>
      <x:c r="D28" s="242" t="s">
        <x:v>375</x:v>
      </x:c>
      <x:c r="E28" s="238"/>
      <x:c r="F28" s="45"/>
      <x:c r="G28" s="45"/>
      <x:c r="H28" s="45"/>
      <x:c r="I28" s="274"/>
      <x:c r="J28" s="313" t="s">
        <x:v>80</x:v>
      </x:c>
      <x:c r="K28" s="307"/>
      <x:c r="L28" s="307"/>
      <x:c r="M28" s="304"/>
      <x:c r="N28" s="274"/>
      <x:c r="O28" s="307"/>
      <x:c r="P28" s="307"/>
      <x:c r="Q28" s="307"/>
      <x:c r="R28" s="138"/>
      <x:c r="S28" s="665"/>
      <x:c r="T28" s="593"/>
      <x:c r="U28" s="593"/>
      <x:c r="V28" s="593"/>
      <x:c r="W28" s="138" t="s">
        <x:v>101</x:v>
      </x:c>
      <x:c r="X28" s="1018" t="s">
        <x:v>57</x:v>
      </x:c>
      <x:c r="Y28" s="593"/>
      <x:c r="Z28" s="593"/>
      <x:c r="AA28" s="593" t="s">
        <x:v>303</x:v>
      </x:c>
      <x:c r="AB28" s="138"/>
      <x:c r="AC28" s="665"/>
      <x:c r="AD28" s="57"/>
      <x:c r="AE28" s="57"/>
      <x:c r="AF28" s="57"/>
      <x:c r="AG28" s="138"/>
      <x:c r="AH28" s="57"/>
      <x:c r="AI28" s="57"/>
      <x:c r="AJ28" s="57"/>
      <x:c r="AK28" s="57"/>
      <x:c r="AL28" s="101"/>
      <x:c r="AM28" s="1105"/>
      <x:c r="AN28" s="1106"/>
      <x:c r="AO28" s="1106"/>
      <x:c r="AP28" s="1106"/>
      <x:c r="AQ28" s="1106"/>
      <x:c r="AR28" s="1107"/>
      <x:c r="AS28" s="886" t="s">
        <x:v>306</x:v>
      </x:c>
      <x:c r="AT28" s="286"/>
    </x:row>
    <x:row r="29" spans="1:46">
      <x:c r="A29" s="1040"/>
      <x:c r="B29" s="193" t="s">
        <x:v>401</x:v>
      </x:c>
      <x:c r="C29" s="193" t="s">
        <x:v>218</x:v>
      </x:c>
      <x:c r="D29" s="194" t="s">
        <x:v>375</x:v>
      </x:c>
      <x:c r="E29" s="239"/>
      <x:c r="F29" s="48"/>
      <x:c r="G29" s="48"/>
      <x:c r="H29" s="48"/>
      <x:c r="I29" s="277"/>
      <x:c r="J29" s="308"/>
      <x:c r="K29" s="308"/>
      <x:c r="L29" s="308" t="s">
        <x:v>298</x:v>
      </x:c>
      <x:c r="M29" s="136"/>
      <x:c r="N29" s="277"/>
      <x:c r="O29" s="308"/>
      <x:c r="P29" s="308"/>
      <x:c r="Q29" s="308"/>
      <x:c r="R29" s="140"/>
      <x:c r="S29" s="356"/>
      <x:c r="T29" s="357"/>
      <x:c r="U29" s="357"/>
      <x:c r="V29" s="357"/>
      <x:c r="W29" s="605" t="s">
        <x:v>101</x:v>
      </x:c>
      <x:c r="X29" s="143"/>
      <x:c r="Y29" s="357"/>
      <x:c r="Z29" s="357"/>
      <x:c r="AA29" s="357" t="s">
        <x:v>295</x:v>
      </x:c>
      <x:c r="AB29" s="140"/>
      <x:c r="AC29" s="1340" t="s">
        <x:v>1</x:v>
      </x:c>
      <x:c r="AD29" s="77"/>
      <x:c r="AE29" s="77"/>
      <x:c r="AF29" s="77"/>
      <x:c r="AG29" s="140"/>
      <x:c r="AH29" s="71"/>
      <x:c r="AI29" s="71"/>
      <x:c r="AJ29" s="71"/>
      <x:c r="AK29" s="71"/>
      <x:c r="AL29" s="102"/>
      <x:c r="AM29" s="1102" t="s">
        <x:v>29</x:v>
      </x:c>
      <x:c r="AN29" s="1103"/>
      <x:c r="AO29" s="1103"/>
      <x:c r="AP29" s="1103"/>
      <x:c r="AQ29" s="1103"/>
      <x:c r="AR29" s="1104"/>
      <x:c r="AS29" s="286" t="s">
        <x:v>43</x:v>
      </x:c>
      <x:c r="AT29" s="286" t="s">
        <x:v>145</x:v>
      </x:c>
    </x:row>
    <x:row r="30" spans="1:46">
      <x:c r="A30" s="1040"/>
      <x:c r="B30" s="190" t="s">
        <x:v>198</x:v>
      </x:c>
      <x:c r="C30" s="190" t="s">
        <x:v>367</x:v>
      </x:c>
      <x:c r="D30" s="191" t="s">
        <x:v>378</x:v>
      </x:c>
      <x:c r="E30" s="239"/>
      <x:c r="F30" s="48"/>
      <x:c r="G30" s="48"/>
      <x:c r="H30" s="48"/>
      <x:c r="I30" s="277"/>
      <x:c r="J30" s="308"/>
      <x:c r="K30" s="308"/>
      <x:c r="L30" s="308"/>
      <x:c r="M30" s="136"/>
      <x:c r="N30" s="277"/>
      <x:c r="O30" s="308"/>
      <x:c r="P30" s="308"/>
      <x:c r="Q30" s="595"/>
      <x:c r="R30" s="140"/>
      <x:c r="S30" s="356"/>
      <x:c r="T30" s="357"/>
      <x:c r="U30" s="357"/>
      <x:c r="V30" s="357"/>
      <x:c r="W30" s="605" t="s">
        <x:v>101</x:v>
      </x:c>
      <x:c r="X30" s="143"/>
      <x:c r="Y30" s="357"/>
      <x:c r="Z30" s="357"/>
      <x:c r="AA30" s="357"/>
      <x:c r="AB30" s="140"/>
      <x:c r="AC30" s="356"/>
      <x:c r="AD30" s="77"/>
      <x:c r="AE30" s="77"/>
      <x:c r="AF30" s="77"/>
      <x:c r="AG30" s="140"/>
      <x:c r="AH30" s="71"/>
      <x:c r="AI30" s="71"/>
      <x:c r="AJ30" s="71"/>
      <x:c r="AK30" s="71"/>
      <x:c r="AL30" s="102"/>
      <x:c r="AM30" s="1029" t="s">
        <x:v>407</x:v>
      </x:c>
      <x:c r="AN30" s="1030"/>
      <x:c r="AO30" s="1030"/>
      <x:c r="AP30" s="1030"/>
      <x:c r="AQ30" s="1030"/>
      <x:c r="AR30" s="1031"/>
      <x:c r="AS30" s="286" t="s">
        <x:v>43</x:v>
      </x:c>
      <x:c r="AT30" s="286" t="s">
        <x:v>145</x:v>
      </x:c>
    </x:row>
    <x:row r="31" spans="1:46" ht="16.75">
      <x:c r="A31" s="1040"/>
      <x:c r="B31" s="53" t="s">
        <x:v>171</x:v>
      </x:c>
      <x:c r="C31" s="53" t="s">
        <x:v>367</x:v>
      </x:c>
      <x:c r="D31" s="187" t="s">
        <x:v>378</x:v>
      </x:c>
      <x:c r="E31" s="218"/>
      <x:c r="F31" s="56"/>
      <x:c r="G31" s="56"/>
      <x:c r="H31" s="56"/>
      <x:c r="I31" s="280"/>
      <x:c r="J31" s="311"/>
      <x:c r="K31" s="311"/>
      <x:c r="L31" s="311" t="s">
        <x:v>80</x:v>
      </x:c>
      <x:c r="M31" s="137"/>
      <x:c r="N31" s="280" t="s">
        <x:v>135</x:v>
      </x:c>
      <x:c r="O31" s="311" t="s">
        <x:v>95</x:v>
      </x:c>
      <x:c r="P31" s="311"/>
      <x:c r="Q31" s="311"/>
      <x:c r="R31" s="137"/>
      <x:c r="S31" s="292"/>
      <x:c r="T31" s="302"/>
      <x:c r="U31" s="302"/>
      <x:c r="V31" s="302"/>
      <x:c r="W31" s="605" t="s">
        <x:v>101</x:v>
      </x:c>
      <x:c r="X31" s="142"/>
      <x:c r="Y31" s="302"/>
      <x:c r="Z31" s="302"/>
      <x:c r="AA31" s="302"/>
      <x:c r="AB31" s="139"/>
      <x:c r="AC31" s="292"/>
      <x:c r="AD31" s="71"/>
      <x:c r="AE31" s="71"/>
      <x:c r="AF31" s="71"/>
      <x:c r="AG31" s="139"/>
      <x:c r="AH31" s="80"/>
      <x:c r="AI31" s="80"/>
      <x:c r="AJ31" s="80"/>
      <x:c r="AK31" s="80"/>
      <x:c r="AL31" s="104"/>
      <x:c r="AM31" s="1029"/>
      <x:c r="AN31" s="1030"/>
      <x:c r="AO31" s="1030"/>
      <x:c r="AP31" s="1030"/>
      <x:c r="AQ31" s="1030"/>
      <x:c r="AR31" s="1031"/>
      <x:c r="AS31" s="286" t="s">
        <x:v>43</x:v>
      </x:c>
      <x:c r="AT31" s="286" t="s">
        <x:v>145</x:v>
      </x:c>
    </x:row>
    <x:row r="32" spans="1:46" s="38" customFormat="1" ht="16.75" customHeight="1">
      <x:c r="A32" s="1041"/>
      <x:c r="B32" s="192" t="s">
        <x:v>373</x:v>
      </x:c>
      <x:c r="C32" s="192" t="s">
        <x:v>172</x:v>
      </x:c>
      <x:c r="D32" s="191" t="s">
        <x:v>378</x:v>
      </x:c>
      <x:c r="E32" s="238"/>
      <x:c r="F32" s="45"/>
      <x:c r="G32" s="45"/>
      <x:c r="H32" s="45"/>
      <x:c r="I32" s="274"/>
      <x:c r="J32" s="307"/>
      <x:c r="K32" s="307"/>
      <x:c r="L32" s="336" t="s">
        <x:v>137</x:v>
      </x:c>
      <x:c r="M32" s="134"/>
      <x:c r="N32" s="395"/>
      <x:c r="O32" s="153"/>
      <x:c r="P32" s="307"/>
      <x:c r="Q32" s="593"/>
      <x:c r="R32" s="138"/>
      <x:c r="S32" s="292"/>
      <x:c r="T32" s="302"/>
      <x:c r="U32" s="302"/>
      <x:c r="V32" s="302"/>
      <x:c r="W32" s="605" t="s">
        <x:v>101</x:v>
      </x:c>
      <x:c r="X32" s="142"/>
      <x:c r="Y32" s="302"/>
      <x:c r="Z32" s="302"/>
      <x:c r="AA32" s="302"/>
      <x:c r="AB32" s="139"/>
      <x:c r="AC32" s="292"/>
      <x:c r="AD32" s="71"/>
      <x:c r="AE32" s="71"/>
      <x:c r="AF32" s="71"/>
      <x:c r="AG32" s="139"/>
      <x:c r="AH32" s="57"/>
      <x:c r="AI32" s="57"/>
      <x:c r="AJ32" s="57"/>
      <x:c r="AK32" s="57"/>
      <x:c r="AL32" s="101"/>
      <x:c r="AM32" s="1029" t="s">
        <x:v>432</x:v>
      </x:c>
      <x:c r="AN32" s="1030"/>
      <x:c r="AO32" s="1030"/>
      <x:c r="AP32" s="1030"/>
      <x:c r="AQ32" s="1030"/>
      <x:c r="AR32" s="1031"/>
      <x:c r="AS32" s="286" t="s">
        <x:v>43</x:v>
      </x:c>
      <x:c r="AT32" s="286" t="s">
        <x:v>145</x:v>
      </x:c>
    </x:row>
    <x:row r="33" spans="1:46" s="38" customFormat="1">
      <x:c r="A33" s="1041"/>
      <x:c r="B33" s="192" t="s">
        <x:v>215</x:v>
      </x:c>
      <x:c r="C33" s="190" t="s">
        <x:v>159</x:v>
      </x:c>
      <x:c r="D33" s="191" t="s">
        <x:v>378</x:v>
      </x:c>
      <x:c r="E33" s="239"/>
      <x:c r="F33" s="48"/>
      <x:c r="G33" s="48"/>
      <x:c r="H33" s="48"/>
      <x:c r="I33" s="275"/>
      <x:c r="J33" s="306"/>
      <x:c r="K33" s="306"/>
      <x:c r="L33" s="306"/>
      <x:c r="M33" s="135"/>
      <x:c r="N33" s="275"/>
      <x:c r="O33" s="306"/>
      <x:c r="P33" s="306"/>
      <x:c r="Q33" s="302"/>
      <x:c r="R33" s="139"/>
      <x:c r="S33" s="292"/>
      <x:c r="T33" s="302"/>
      <x:c r="U33" s="146" t="s">
        <x:v>119</x:v>
      </x:c>
      <x:c r="V33" s="302"/>
      <x:c r="W33" s="605" t="s">
        <x:v>101</x:v>
      </x:c>
      <x:c r="X33" s="142"/>
      <x:c r="Y33" s="302"/>
      <x:c r="Z33" s="302"/>
      <x:c r="AA33" s="71"/>
      <x:c r="AB33" s="139"/>
      <x:c r="AC33" s="292"/>
      <x:c r="AD33" s="71"/>
      <x:c r="AE33" s="71"/>
      <x:c r="AF33" s="71"/>
      <x:c r="AG33" s="139"/>
      <x:c r="AH33" s="71"/>
      <x:c r="AI33" s="71"/>
      <x:c r="AJ33" s="71"/>
      <x:c r="AK33" s="71"/>
      <x:c r="AL33" s="102"/>
      <x:c r="AM33" s="1029"/>
      <x:c r="AN33" s="1030"/>
      <x:c r="AO33" s="1030"/>
      <x:c r="AP33" s="1030"/>
      <x:c r="AQ33" s="1030"/>
      <x:c r="AR33" s="1031"/>
      <x:c r="AS33" s="286" t="s">
        <x:v>43</x:v>
      </x:c>
      <x:c r="AT33" s="286" t="s">
        <x:v>145</x:v>
      </x:c>
    </x:row>
    <x:row r="34" spans="1:47" s="38" customFormat="1" ht="16.75">
      <x:c r="A34" s="1042"/>
      <x:c r="B34" s="694"/>
      <x:c r="C34" s="902"/>
      <x:c r="D34" s="903"/>
      <x:c r="E34" s="966"/>
      <x:c r="F34" s="967"/>
      <x:c r="G34" s="967"/>
      <x:c r="H34" s="967"/>
      <x:c r="I34" s="725"/>
      <x:c r="J34" s="726"/>
      <x:c r="K34" s="726"/>
      <x:c r="L34" s="726"/>
      <x:c r="M34" s="451"/>
      <x:c r="N34" s="725"/>
      <x:c r="O34" s="726"/>
      <x:c r="P34" s="726"/>
      <x:c r="Q34" s="388"/>
      <x:c r="R34" s="389"/>
      <x:c r="S34" s="387"/>
      <x:c r="T34" s="388"/>
      <x:c r="U34" s="388"/>
      <x:c r="V34" s="388"/>
      <x:c r="W34" s="389"/>
      <x:c r="X34" s="387"/>
      <x:c r="Y34" s="388"/>
      <x:c r="Z34" s="388"/>
      <x:c r="AA34" s="388"/>
      <x:c r="AB34" s="389"/>
      <x:c r="AC34" s="387"/>
      <x:c r="AD34" s="388"/>
      <x:c r="AE34" s="388"/>
      <x:c r="AF34" s="388"/>
      <x:c r="AG34" s="389"/>
      <x:c r="AH34" s="388"/>
      <x:c r="AI34" s="388"/>
      <x:c r="AJ34" s="388"/>
      <x:c r="AK34" s="388"/>
      <x:c r="AL34" s="390"/>
      <x:c r="AM34" s="1108"/>
      <x:c r="AN34" s="1109"/>
      <x:c r="AO34" s="1109"/>
      <x:c r="AP34" s="1109"/>
      <x:c r="AQ34" s="1109"/>
      <x:c r="AR34" s="1110"/>
      <x:c r="AS34" s="768"/>
      <x:c r="AT34" s="768"/>
      <x:c r="AU34" s="719"/>
    </x:row>
    <x:row r="35" spans="1:44">
      <x:c r="A35" s="54"/>
      <x:c r="B35" s="94"/>
      <x:c r="C35" s="74"/>
      <x:c r="D35" s="74"/>
      <x:c r="E35" s="74"/>
      <x:c r="F35" s="74"/>
      <x:c r="G35" s="74"/>
      <x:c r="H35" s="74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  <x:c r="V35" s="105"/>
      <x:c r="W35" s="105"/>
      <x:c r="X35" s="105"/>
      <x:c r="Y35" s="105"/>
      <x:c r="Z35" s="105"/>
      <x:c r="AA35" s="105"/>
      <x:c r="AB35" s="105"/>
      <x:c r="AC35" s="105"/>
      <x:c r="AD35" s="105"/>
      <x:c r="AE35" s="105"/>
      <x:c r="AF35" s="105"/>
      <x:c r="AG35" s="105"/>
      <x:c r="AH35" s="105"/>
      <x:c r="AI35" s="105"/>
      <x:c r="AJ35" s="105"/>
      <x:c r="AK35" s="105"/>
      <x:c r="AL35" s="105"/>
      <x:c r="AM35" s="54"/>
      <x:c r="AN35" s="54"/>
      <x:c r="AO35" s="54"/>
      <x:c r="AP35" s="54"/>
      <x:c r="AQ35" s="54"/>
      <x:c r="AR35" s="54"/>
    </x:row>
    <x:row r="36" spans="1:44" ht="16.75" customHeight="1">
      <x:c r="A36" s="1038" t="s">
        <x:v>39</x:v>
      </x:c>
      <x:c r="B36" s="331"/>
      <x:c r="C36" s="1090" t="s">
        <x:v>413</x:v>
      </x:c>
      <x:c r="D36" s="1090"/>
      <x:c r="E36" s="1090"/>
      <x:c r="F36" s="1090"/>
      <x:c r="G36" s="1090"/>
      <x:c r="H36" s="1090"/>
      <x:c r="I36" s="1090"/>
      <x:c r="J36" s="1090"/>
      <x:c r="K36" s="1090"/>
      <x:c r="L36" s="1090"/>
      <x:c r="M36" s="1090"/>
      <x:c r="N36" s="1090"/>
      <x:c r="O36" s="1090"/>
      <x:c r="P36" s="1090"/>
      <x:c r="Q36" s="1090"/>
      <x:c r="R36" s="1090"/>
      <x:c r="S36" s="1090"/>
      <x:c r="T36" s="1090"/>
      <x:c r="U36" s="1090"/>
      <x:c r="V36" s="1090"/>
      <x:c r="W36" s="1091"/>
      <x:c r="X36" s="141"/>
      <x:c r="Y36" s="57"/>
      <x:c r="Z36" s="57"/>
      <x:c r="AA36" s="57"/>
      <x:c r="AB36" s="138"/>
      <x:c r="AC36" s="119"/>
      <x:c r="AD36" s="57"/>
      <x:c r="AE36" s="57"/>
      <x:c r="AF36" s="57"/>
      <x:c r="AG36" s="138"/>
      <x:c r="AH36" s="57"/>
      <x:c r="AI36" s="57"/>
      <x:c r="AJ36" s="57"/>
      <x:c r="AK36" s="57"/>
      <x:c r="AL36" s="101"/>
      <x:c r="AM36" s="1026"/>
      <x:c r="AN36" s="1027"/>
      <x:c r="AO36" s="1027"/>
      <x:c r="AP36" s="1027"/>
      <x:c r="AQ36" s="1027"/>
      <x:c r="AR36" s="1028"/>
    </x:row>
    <x:row r="37" spans="1:44" ht="24.899999999999999">
      <x:c r="A37" s="1023"/>
      <x:c r="B37" s="329"/>
      <x:c r="C37" s="1092"/>
      <x:c r="D37" s="1092"/>
      <x:c r="E37" s="1092"/>
      <x:c r="F37" s="1092"/>
      <x:c r="G37" s="1092"/>
      <x:c r="H37" s="1092"/>
      <x:c r="I37" s="1092"/>
      <x:c r="J37" s="1092"/>
      <x:c r="K37" s="1092"/>
      <x:c r="L37" s="1092"/>
      <x:c r="M37" s="1092"/>
      <x:c r="N37" s="1092"/>
      <x:c r="O37" s="1092"/>
      <x:c r="P37" s="1092"/>
      <x:c r="Q37" s="1092"/>
      <x:c r="R37" s="1092"/>
      <x:c r="S37" s="1092"/>
      <x:c r="T37" s="1092"/>
      <x:c r="U37" s="1092"/>
      <x:c r="V37" s="1092"/>
      <x:c r="W37" s="1093"/>
      <x:c r="X37" s="142"/>
      <x:c r="Y37" s="71"/>
      <x:c r="Z37" s="71"/>
      <x:c r="AA37" s="71"/>
      <x:c r="AB37" s="139"/>
      <x:c r="AC37" s="120"/>
      <x:c r="AD37" s="71"/>
      <x:c r="AE37" s="71"/>
      <x:c r="AF37" s="71"/>
      <x:c r="AG37" s="139"/>
      <x:c r="AH37" s="71"/>
      <x:c r="AI37" s="71"/>
      <x:c r="AJ37" s="71"/>
      <x:c r="AK37" s="71"/>
      <x:c r="AL37" s="102"/>
      <x:c r="AM37" s="1029"/>
      <x:c r="AN37" s="1030"/>
      <x:c r="AO37" s="1030"/>
      <x:c r="AP37" s="1030"/>
      <x:c r="AQ37" s="1030"/>
      <x:c r="AR37" s="1031"/>
    </x:row>
    <x:row r="38" spans="1:44" ht="24.899999999999999">
      <x:c r="A38" s="1023"/>
      <x:c r="B38" s="329"/>
      <x:c r="C38" s="1092"/>
      <x:c r="D38" s="1092"/>
      <x:c r="E38" s="1092"/>
      <x:c r="F38" s="1092"/>
      <x:c r="G38" s="1092"/>
      <x:c r="H38" s="1092"/>
      <x:c r="I38" s="1092"/>
      <x:c r="J38" s="1092"/>
      <x:c r="K38" s="1092"/>
      <x:c r="L38" s="1092"/>
      <x:c r="M38" s="1092"/>
      <x:c r="N38" s="1092"/>
      <x:c r="O38" s="1092"/>
      <x:c r="P38" s="1092"/>
      <x:c r="Q38" s="1092"/>
      <x:c r="R38" s="1092"/>
      <x:c r="S38" s="1092"/>
      <x:c r="T38" s="1092"/>
      <x:c r="U38" s="1092"/>
      <x:c r="V38" s="1092"/>
      <x:c r="W38" s="1093"/>
      <x:c r="X38" s="142"/>
      <x:c r="Y38" s="71"/>
      <x:c r="Z38" s="71"/>
      <x:c r="AA38" s="71"/>
      <x:c r="AB38" s="139"/>
      <x:c r="AC38" s="120"/>
      <x:c r="AD38" s="71"/>
      <x:c r="AE38" s="71"/>
      <x:c r="AF38" s="71"/>
      <x:c r="AG38" s="139"/>
      <x:c r="AH38" s="71"/>
      <x:c r="AI38" s="71"/>
      <x:c r="AJ38" s="71"/>
      <x:c r="AK38" s="71"/>
      <x:c r="AL38" s="102"/>
      <x:c r="AM38" s="1032"/>
      <x:c r="AN38" s="1033"/>
      <x:c r="AO38" s="1033"/>
      <x:c r="AP38" s="1033"/>
      <x:c r="AQ38" s="1033"/>
      <x:c r="AR38" s="1034"/>
    </x:row>
    <x:row r="39" spans="1:44" ht="24.899999999999999">
      <x:c r="A39" s="1023"/>
      <x:c r="B39" s="329"/>
      <x:c r="C39" s="1092"/>
      <x:c r="D39" s="1092"/>
      <x:c r="E39" s="1092"/>
      <x:c r="F39" s="1092"/>
      <x:c r="G39" s="1092"/>
      <x:c r="H39" s="1092"/>
      <x:c r="I39" s="1092"/>
      <x:c r="J39" s="1092"/>
      <x:c r="K39" s="1092"/>
      <x:c r="L39" s="1092"/>
      <x:c r="M39" s="1092"/>
      <x:c r="N39" s="1092"/>
      <x:c r="O39" s="1092"/>
      <x:c r="P39" s="1092"/>
      <x:c r="Q39" s="1092"/>
      <x:c r="R39" s="1092"/>
      <x:c r="S39" s="1092"/>
      <x:c r="T39" s="1092"/>
      <x:c r="U39" s="1092"/>
      <x:c r="V39" s="1092"/>
      <x:c r="W39" s="1093"/>
      <x:c r="X39" s="142"/>
      <x:c r="Y39" s="71"/>
      <x:c r="Z39" s="71"/>
      <x:c r="AA39" s="71"/>
      <x:c r="AB39" s="139"/>
      <x:c r="AC39" s="120"/>
      <x:c r="AD39" s="71"/>
      <x:c r="AE39" s="71"/>
      <x:c r="AF39" s="71"/>
      <x:c r="AG39" s="139"/>
      <x:c r="AH39" s="71"/>
      <x:c r="AI39" s="71"/>
      <x:c r="AJ39" s="71"/>
      <x:c r="AK39" s="71"/>
      <x:c r="AL39" s="102"/>
      <x:c r="AM39" s="1029"/>
      <x:c r="AN39" s="1030"/>
      <x:c r="AO39" s="1030"/>
      <x:c r="AP39" s="1030"/>
      <x:c r="AQ39" s="1030"/>
      <x:c r="AR39" s="1031"/>
    </x:row>
    <x:row r="40" spans="1:44" ht="24.899999999999999">
      <x:c r="A40" s="1023"/>
      <x:c r="B40" s="329"/>
      <x:c r="C40" s="1092"/>
      <x:c r="D40" s="1092"/>
      <x:c r="E40" s="1092"/>
      <x:c r="F40" s="1092"/>
      <x:c r="G40" s="1092"/>
      <x:c r="H40" s="1092"/>
      <x:c r="I40" s="1092"/>
      <x:c r="J40" s="1092"/>
      <x:c r="K40" s="1092"/>
      <x:c r="L40" s="1092"/>
      <x:c r="M40" s="1092"/>
      <x:c r="N40" s="1092"/>
      <x:c r="O40" s="1092"/>
      <x:c r="P40" s="1092"/>
      <x:c r="Q40" s="1092"/>
      <x:c r="R40" s="1092"/>
      <x:c r="S40" s="1092"/>
      <x:c r="T40" s="1092"/>
      <x:c r="U40" s="1092"/>
      <x:c r="V40" s="1092"/>
      <x:c r="W40" s="1093"/>
      <x:c r="X40" s="143"/>
      <x:c r="Y40" s="77"/>
      <x:c r="Z40" s="77"/>
      <x:c r="AA40" s="77"/>
      <x:c r="AB40" s="140"/>
      <x:c r="AC40" s="114"/>
      <x:c r="AD40" s="77"/>
      <x:c r="AE40" s="77"/>
      <x:c r="AF40" s="77"/>
      <x:c r="AG40" s="140"/>
      <x:c r="AH40" s="71"/>
      <x:c r="AI40" s="71"/>
      <x:c r="AJ40" s="71"/>
      <x:c r="AK40" s="71"/>
      <x:c r="AL40" s="102"/>
      <x:c r="AM40" s="1029"/>
      <x:c r="AN40" s="1030"/>
      <x:c r="AO40" s="1030"/>
      <x:c r="AP40" s="1030"/>
      <x:c r="AQ40" s="1030"/>
      <x:c r="AR40" s="1031"/>
    </x:row>
    <x:row r="41" spans="1:44" ht="25.300000000000001">
      <x:c r="A41" s="1025"/>
      <x:c r="B41" s="330"/>
      <x:c r="C41" s="1094"/>
      <x:c r="D41" s="1094"/>
      <x:c r="E41" s="1094"/>
      <x:c r="F41" s="1094"/>
      <x:c r="G41" s="1094"/>
      <x:c r="H41" s="1094"/>
      <x:c r="I41" s="1094"/>
      <x:c r="J41" s="1094"/>
      <x:c r="K41" s="1094"/>
      <x:c r="L41" s="1094"/>
      <x:c r="M41" s="1094"/>
      <x:c r="N41" s="1094"/>
      <x:c r="O41" s="1094"/>
      <x:c r="P41" s="1094"/>
      <x:c r="Q41" s="1094"/>
      <x:c r="R41" s="1094"/>
      <x:c r="S41" s="1094"/>
      <x:c r="T41" s="1094"/>
      <x:c r="U41" s="1094"/>
      <x:c r="V41" s="1094"/>
      <x:c r="W41" s="1095"/>
      <x:c r="X41" s="144"/>
      <x:c r="Y41" s="80"/>
      <x:c r="Z41" s="80"/>
      <x:c r="AA41" s="80"/>
      <x:c r="AB41" s="137"/>
      <x:c r="AC41" s="116"/>
      <x:c r="AD41" s="80"/>
      <x:c r="AE41" s="80"/>
      <x:c r="AF41" s="80"/>
      <x:c r="AG41" s="137"/>
      <x:c r="AH41" s="80"/>
      <x:c r="AI41" s="80"/>
      <x:c r="AJ41" s="80"/>
      <x:c r="AK41" s="80"/>
      <x:c r="AL41" s="104"/>
      <x:c r="AM41" s="1035"/>
      <x:c r="AN41" s="1036"/>
      <x:c r="AO41" s="1036"/>
      <x:c r="AP41" s="1036"/>
      <x:c r="AQ41" s="1036"/>
      <x:c r="AR41" s="1037"/>
    </x:row>
    <x:row r="42" spans="1:44">
      <x:c r="A42" s="54"/>
      <x:c r="B42" s="94"/>
      <x:c r="C42" s="74"/>
      <x:c r="D42" s="74"/>
      <x:c r="E42" s="74"/>
      <x:c r="F42" s="74"/>
      <x:c r="G42" s="74"/>
      <x:c r="H42" s="74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 s="105"/>
      <x:c r="AB42" s="105"/>
      <x:c r="AC42" s="105"/>
      <x:c r="AD42" s="105"/>
      <x:c r="AE42" s="105"/>
      <x:c r="AF42" s="105"/>
      <x:c r="AG42" s="105"/>
      <x:c r="AH42" s="105"/>
      <x:c r="AI42" s="105"/>
      <x:c r="AJ42" s="105"/>
      <x:c r="AK42" s="105"/>
      <x:c r="AL42" s="105"/>
      <x:c r="AM42" s="54"/>
      <x:c r="AN42" s="54"/>
      <x:c r="AO42" s="54"/>
      <x:c r="AP42" s="54"/>
      <x:c r="AQ42" s="54"/>
      <x:c r="AR42" s="54"/>
    </x:row>
    <x:row r="43" spans="1:44" ht="16.75" customHeight="1">
      <x:c r="A43" s="1022">
        <x:v>0.29166666666666669</x:v>
      </x:c>
      <x:c r="B43" s="328"/>
      <x:c r="C43" s="1090" t="s">
        <x:v>413</x:v>
      </x:c>
      <x:c r="D43" s="1090"/>
      <x:c r="E43" s="1090"/>
      <x:c r="F43" s="1090"/>
      <x:c r="G43" s="1090"/>
      <x:c r="H43" s="1090"/>
      <x:c r="I43" s="1090"/>
      <x:c r="J43" s="1090"/>
      <x:c r="K43" s="1090"/>
      <x:c r="L43" s="1090"/>
      <x:c r="M43" s="1090"/>
      <x:c r="N43" s="1090"/>
      <x:c r="O43" s="1090"/>
      <x:c r="P43" s="1090"/>
      <x:c r="Q43" s="1090"/>
      <x:c r="R43" s="1090"/>
      <x:c r="S43" s="1090"/>
      <x:c r="T43" s="1090"/>
      <x:c r="U43" s="1090"/>
      <x:c r="V43" s="1090"/>
      <x:c r="W43" s="1091"/>
      <x:c r="X43" s="141"/>
      <x:c r="Y43" s="57"/>
      <x:c r="Z43" s="57"/>
      <x:c r="AA43" s="57"/>
      <x:c r="AB43" s="138"/>
      <x:c r="AC43" s="119"/>
      <x:c r="AD43" s="57"/>
      <x:c r="AE43" s="57"/>
      <x:c r="AF43" s="57"/>
      <x:c r="AG43" s="138"/>
      <x:c r="AH43" s="57"/>
      <x:c r="AI43" s="57"/>
      <x:c r="AJ43" s="57"/>
      <x:c r="AK43" s="57"/>
      <x:c r="AL43" s="101"/>
      <x:c r="AM43" s="1026"/>
      <x:c r="AN43" s="1027"/>
      <x:c r="AO43" s="1027"/>
      <x:c r="AP43" s="1027"/>
      <x:c r="AQ43" s="1027"/>
      <x:c r="AR43" s="1028"/>
    </x:row>
    <x:row r="44" spans="1:44" ht="24.899999999999999">
      <x:c r="A44" s="1023"/>
      <x:c r="B44" s="329"/>
      <x:c r="C44" s="1092"/>
      <x:c r="D44" s="1092"/>
      <x:c r="E44" s="1092"/>
      <x:c r="F44" s="1092"/>
      <x:c r="G44" s="1092"/>
      <x:c r="H44" s="1092"/>
      <x:c r="I44" s="1092"/>
      <x:c r="J44" s="1092"/>
      <x:c r="K44" s="1092"/>
      <x:c r="L44" s="1092"/>
      <x:c r="M44" s="1092"/>
      <x:c r="N44" s="1092"/>
      <x:c r="O44" s="1092"/>
      <x:c r="P44" s="1092"/>
      <x:c r="Q44" s="1092"/>
      <x:c r="R44" s="1092"/>
      <x:c r="S44" s="1092"/>
      <x:c r="T44" s="1092"/>
      <x:c r="U44" s="1092"/>
      <x:c r="V44" s="1092"/>
      <x:c r="W44" s="1093"/>
      <x:c r="X44" s="142"/>
      <x:c r="Y44" s="71"/>
      <x:c r="Z44" s="71"/>
      <x:c r="AA44" s="71"/>
      <x:c r="AB44" s="139"/>
      <x:c r="AC44" s="120"/>
      <x:c r="AD44" s="71"/>
      <x:c r="AE44" s="71"/>
      <x:c r="AF44" s="71"/>
      <x:c r="AG44" s="139"/>
      <x:c r="AH44" s="71"/>
      <x:c r="AI44" s="71"/>
      <x:c r="AJ44" s="71"/>
      <x:c r="AK44" s="71"/>
      <x:c r="AL44" s="102"/>
      <x:c r="AM44" s="1029"/>
      <x:c r="AN44" s="1030"/>
      <x:c r="AO44" s="1030"/>
      <x:c r="AP44" s="1030"/>
      <x:c r="AQ44" s="1030"/>
      <x:c r="AR44" s="1031"/>
    </x:row>
    <x:row r="45" spans="1:44" ht="24.899999999999999">
      <x:c r="A45" s="1023"/>
      <x:c r="B45" s="329"/>
      <x:c r="C45" s="1092"/>
      <x:c r="D45" s="1092"/>
      <x:c r="E45" s="1092"/>
      <x:c r="F45" s="1092"/>
      <x:c r="G45" s="1092"/>
      <x:c r="H45" s="1092"/>
      <x:c r="I45" s="1092"/>
      <x:c r="J45" s="1092"/>
      <x:c r="K45" s="1092"/>
      <x:c r="L45" s="1092"/>
      <x:c r="M45" s="1092"/>
      <x:c r="N45" s="1092"/>
      <x:c r="O45" s="1092"/>
      <x:c r="P45" s="1092"/>
      <x:c r="Q45" s="1092"/>
      <x:c r="R45" s="1092"/>
      <x:c r="S45" s="1092"/>
      <x:c r="T45" s="1092"/>
      <x:c r="U45" s="1092"/>
      <x:c r="V45" s="1092"/>
      <x:c r="W45" s="1093"/>
      <x:c r="X45" s="142"/>
      <x:c r="Y45" s="71"/>
      <x:c r="Z45" s="71"/>
      <x:c r="AA45" s="71"/>
      <x:c r="AB45" s="139"/>
      <x:c r="AC45" s="120"/>
      <x:c r="AD45" s="71"/>
      <x:c r="AE45" s="71"/>
      <x:c r="AF45" s="71"/>
      <x:c r="AG45" s="139"/>
      <x:c r="AH45" s="71"/>
      <x:c r="AI45" s="71"/>
      <x:c r="AJ45" s="71"/>
      <x:c r="AK45" s="71"/>
      <x:c r="AL45" s="102"/>
      <x:c r="AM45" s="1029"/>
      <x:c r="AN45" s="1030"/>
      <x:c r="AO45" s="1030"/>
      <x:c r="AP45" s="1030"/>
      <x:c r="AQ45" s="1030"/>
      <x:c r="AR45" s="1031"/>
    </x:row>
    <x:row r="46" spans="1:44" ht="24.899999999999999">
      <x:c r="A46" s="1024"/>
      <x:c r="B46" s="329"/>
      <x:c r="C46" s="1092"/>
      <x:c r="D46" s="1092"/>
      <x:c r="E46" s="1092"/>
      <x:c r="F46" s="1092"/>
      <x:c r="G46" s="1092"/>
      <x:c r="H46" s="1092"/>
      <x:c r="I46" s="1092"/>
      <x:c r="J46" s="1092"/>
      <x:c r="K46" s="1092"/>
      <x:c r="L46" s="1092"/>
      <x:c r="M46" s="1092"/>
      <x:c r="N46" s="1092"/>
      <x:c r="O46" s="1092"/>
      <x:c r="P46" s="1092"/>
      <x:c r="Q46" s="1092"/>
      <x:c r="R46" s="1092"/>
      <x:c r="S46" s="1092"/>
      <x:c r="T46" s="1092"/>
      <x:c r="U46" s="1092"/>
      <x:c r="V46" s="1092"/>
      <x:c r="W46" s="1093"/>
      <x:c r="X46" s="142"/>
      <x:c r="Y46" s="71"/>
      <x:c r="Z46" s="71"/>
      <x:c r="AA46" s="71"/>
      <x:c r="AB46" s="139"/>
      <x:c r="AC46" s="120"/>
      <x:c r="AD46" s="71"/>
      <x:c r="AE46" s="71"/>
      <x:c r="AF46" s="71"/>
      <x:c r="AG46" s="139"/>
      <x:c r="AH46" s="71"/>
      <x:c r="AI46" s="71"/>
      <x:c r="AJ46" s="71"/>
      <x:c r="AK46" s="71"/>
      <x:c r="AL46" s="102"/>
      <x:c r="AM46" s="1029"/>
      <x:c r="AN46" s="1030"/>
      <x:c r="AO46" s="1030"/>
      <x:c r="AP46" s="1030"/>
      <x:c r="AQ46" s="1030"/>
      <x:c r="AR46" s="1031"/>
    </x:row>
    <x:row r="47" spans="1:44" ht="24.899999999999999">
      <x:c r="A47" s="1024"/>
      <x:c r="B47" s="329"/>
      <x:c r="C47" s="1092"/>
      <x:c r="D47" s="1092"/>
      <x:c r="E47" s="1092"/>
      <x:c r="F47" s="1092"/>
      <x:c r="G47" s="1092"/>
      <x:c r="H47" s="1092"/>
      <x:c r="I47" s="1092"/>
      <x:c r="J47" s="1092"/>
      <x:c r="K47" s="1092"/>
      <x:c r="L47" s="1092"/>
      <x:c r="M47" s="1092"/>
      <x:c r="N47" s="1092"/>
      <x:c r="O47" s="1092"/>
      <x:c r="P47" s="1092"/>
      <x:c r="Q47" s="1092"/>
      <x:c r="R47" s="1092"/>
      <x:c r="S47" s="1092"/>
      <x:c r="T47" s="1092"/>
      <x:c r="U47" s="1092"/>
      <x:c r="V47" s="1092"/>
      <x:c r="W47" s="1093"/>
      <x:c r="X47" s="143"/>
      <x:c r="Y47" s="77"/>
      <x:c r="Z47" s="77"/>
      <x:c r="AA47" s="77"/>
      <x:c r="AB47" s="140"/>
      <x:c r="AC47" s="114"/>
      <x:c r="AD47" s="77"/>
      <x:c r="AE47" s="77"/>
      <x:c r="AF47" s="77"/>
      <x:c r="AG47" s="140"/>
      <x:c r="AH47" s="77"/>
      <x:c r="AI47" s="77"/>
      <x:c r="AJ47" s="77"/>
      <x:c r="AK47" s="77"/>
      <x:c r="AL47" s="103"/>
      <x:c r="AM47" s="1032"/>
      <x:c r="AN47" s="1033"/>
      <x:c r="AO47" s="1033"/>
      <x:c r="AP47" s="1033"/>
      <x:c r="AQ47" s="1033"/>
      <x:c r="AR47" s="1034"/>
    </x:row>
    <x:row r="48" spans="1:44" ht="25.300000000000001">
      <x:c r="A48" s="1025"/>
      <x:c r="B48" s="330"/>
      <x:c r="C48" s="1094"/>
      <x:c r="D48" s="1094"/>
      <x:c r="E48" s="1094"/>
      <x:c r="F48" s="1094"/>
      <x:c r="G48" s="1094"/>
      <x:c r="H48" s="1094"/>
      <x:c r="I48" s="1094"/>
      <x:c r="J48" s="1094"/>
      <x:c r="K48" s="1094"/>
      <x:c r="L48" s="1094"/>
      <x:c r="M48" s="1094"/>
      <x:c r="N48" s="1094"/>
      <x:c r="O48" s="1094"/>
      <x:c r="P48" s="1094"/>
      <x:c r="Q48" s="1094"/>
      <x:c r="R48" s="1094"/>
      <x:c r="S48" s="1094"/>
      <x:c r="T48" s="1094"/>
      <x:c r="U48" s="1094"/>
      <x:c r="V48" s="1094"/>
      <x:c r="W48" s="1095"/>
      <x:c r="X48" s="144"/>
      <x:c r="Y48" s="80"/>
      <x:c r="Z48" s="80"/>
      <x:c r="AA48" s="80"/>
      <x:c r="AB48" s="137"/>
      <x:c r="AC48" s="116"/>
      <x:c r="AD48" s="80"/>
      <x:c r="AE48" s="80"/>
      <x:c r="AF48" s="80"/>
      <x:c r="AG48" s="137"/>
      <x:c r="AH48" s="80"/>
      <x:c r="AI48" s="80"/>
      <x:c r="AJ48" s="80"/>
      <x:c r="AK48" s="80"/>
      <x:c r="AL48" s="104"/>
      <x:c r="AM48" s="1035"/>
      <x:c r="AN48" s="1036"/>
      <x:c r="AO48" s="1036"/>
      <x:c r="AP48" s="1036"/>
      <x:c r="AQ48" s="1036"/>
      <x:c r="AR48" s="1037"/>
    </x:row>
    <x:row r="49" spans="1:44">
      <x:c r="A49" s="54"/>
      <x:c r="B49" s="83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7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</x:row>
    <x:row r="50" spans="1:44">
      <x:c r="A50" s="1021" t="s">
        <x:v>189</x:v>
      </x:c>
      <x:c r="B50" s="1021">
        <x:f>COUNTA(B6:$B$48)</x:f>
        <x:v>18</x:v>
      </x:c>
      <x:c r="C50" s="43"/>
      <x:c r="D50" s="1021"/>
      <x:c r="E50" s="1021">
        <x:f>COUNTIF(E4:E48,"=y")</x:f>
        <x:v>0</x:v>
      </x:c>
      <x:c r="F50" s="1021">
        <x:f>COUNTIF(F4:F48,"=y")</x:f>
        <x:v>0</x:v>
      </x:c>
      <x:c r="G50" s="1021">
        <x:f>COUNTIF(G4:G48,"=y")</x:f>
        <x:v>0</x:v>
      </x:c>
      <x:c r="H50" s="1021">
        <x:f>COUNTIF(H4:H48,"=y")</x:f>
        <x:v>0</x:v>
      </x:c>
      <x:c r="I50" s="1020"/>
      <x:c r="J50" s="1020"/>
      <x:c r="K50" s="1020"/>
      <x:c r="L50" s="1020"/>
      <x:c r="M50" s="1020"/>
      <x:c r="N50" s="1020"/>
      <x:c r="O50" s="1020"/>
      <x:c r="P50" s="1020"/>
      <x:c r="Q50" s="1020"/>
      <x:c r="R50" s="1020"/>
      <x:c r="S50" s="1020"/>
      <x:c r="T50" s="1020"/>
      <x:c r="U50" s="1020"/>
      <x:c r="V50" s="1020"/>
      <x:c r="W50" s="1020"/>
      <x:c r="X50" s="1020"/>
      <x:c r="Y50" s="1020"/>
      <x:c r="Z50" s="1020"/>
      <x:c r="AA50" s="1020"/>
      <x:c r="AB50" s="1020"/>
      <x:c r="AC50" s="1020"/>
      <x:c r="AD50" s="1020"/>
      <x:c r="AE50" s="1020"/>
      <x:c r="AF50" s="1020"/>
      <x:c r="AG50" s="1020"/>
      <x:c r="AH50" s="1020"/>
      <x:c r="AI50" s="1020"/>
      <x:c r="AJ50" s="1020"/>
      <x:c r="AK50" s="1020"/>
      <x:c r="AL50" s="1020"/>
      <x:c r="AM50" s="54"/>
      <x:c r="AN50" s="54"/>
      <x:c r="AO50" s="54"/>
      <x:c r="AP50" s="54"/>
      <x:c r="AQ50" s="54"/>
      <x:c r="AR50" s="54"/>
    </x:row>
    <x:row r="51" spans="1:44">
      <x:c r="A51" s="1021"/>
      <x:c r="B51" s="1021"/>
      <x:c r="C51" s="43"/>
      <x:c r="D51" s="1021"/>
      <x:c r="E51" s="1021"/>
      <x:c r="F51" s="1021"/>
      <x:c r="G51" s="1021"/>
      <x:c r="H51" s="1021"/>
      <x:c r="I51" s="1020"/>
      <x:c r="J51" s="1020"/>
      <x:c r="K51" s="1020"/>
      <x:c r="L51" s="1020"/>
      <x:c r="M51" s="1020"/>
      <x:c r="N51" s="1020"/>
      <x:c r="O51" s="1020"/>
      <x:c r="P51" s="1020"/>
      <x:c r="Q51" s="1020"/>
      <x:c r="R51" s="1020"/>
      <x:c r="S51" s="1020"/>
      <x:c r="T51" s="1020"/>
      <x:c r="U51" s="1020"/>
      <x:c r="V51" s="1020"/>
      <x:c r="W51" s="1020"/>
      <x:c r="X51" s="1020"/>
      <x:c r="Y51" s="1020"/>
      <x:c r="Z51" s="1020"/>
      <x:c r="AA51" s="1020"/>
      <x:c r="AB51" s="1020"/>
      <x:c r="AC51" s="1020"/>
      <x:c r="AD51" s="1020"/>
      <x:c r="AE51" s="1020"/>
      <x:c r="AF51" s="1020"/>
      <x:c r="AG51" s="1020"/>
      <x:c r="AH51" s="1020"/>
      <x:c r="AI51" s="1020"/>
      <x:c r="AJ51" s="1020"/>
      <x:c r="AK51" s="1020"/>
      <x:c r="AL51" s="1020"/>
      <x:c r="AM51" s="54"/>
      <x:c r="AN51" s="54"/>
      <x:c r="AO51" s="54"/>
      <x:c r="AP51" s="54"/>
      <x:c r="AQ51" s="54"/>
      <x:c r="AR51" s="54"/>
    </x:row>
  </x:sheetData>
  <x:mergeCells count="100">
    <x:mergeCell ref="AL50:AL51"/>
    <x:mergeCell ref="AF50:AF51"/>
    <x:mergeCell ref="AG50:AG51"/>
    <x:mergeCell ref="AH50:AH51"/>
    <x:mergeCell ref="AI50:AI51"/>
    <x:mergeCell ref="AJ50:AJ51"/>
    <x:mergeCell ref="AK50:AK51"/>
    <x:mergeCell ref="Z50:Z51"/>
    <x:mergeCell ref="AA50:AA51"/>
    <x:mergeCell ref="AB50:AB51"/>
    <x:mergeCell ref="AC50:AC51"/>
    <x:mergeCell ref="AD50:AD51"/>
    <x:mergeCell ref="AE50:AE51"/>
    <x:mergeCell ref="T50:T51"/>
    <x:mergeCell ref="U50:U51"/>
    <x:mergeCell ref="V50:V51"/>
    <x:mergeCell ref="W50:W51"/>
    <x:mergeCell ref="X50:X51"/>
    <x:mergeCell ref="Y50:Y51"/>
    <x:mergeCell ref="N50:N51"/>
    <x:mergeCell ref="O50:O51"/>
    <x:mergeCell ref="P50:P51"/>
    <x:mergeCell ref="Q50:Q51"/>
    <x:mergeCell ref="R50:R51"/>
    <x:mergeCell ref="S50:S51"/>
    <x:mergeCell ref="H50:H51"/>
    <x:mergeCell ref="I50:I51"/>
    <x:mergeCell ref="J50:J51"/>
    <x:mergeCell ref="K50:K51"/>
    <x:mergeCell ref="L50:L51"/>
    <x:mergeCell ref="M50:M51"/>
    <x:mergeCell ref="A50:A51"/>
    <x:mergeCell ref="B50:B51"/>
    <x:mergeCell ref="D50:D51"/>
    <x:mergeCell ref="E50:E51"/>
    <x:mergeCell ref="F50:F51"/>
    <x:mergeCell ref="G50:G51"/>
    <x:mergeCell ref="A43:A48"/>
    <x:mergeCell ref="AM43:AR43"/>
    <x:mergeCell ref="AM44:AR44"/>
    <x:mergeCell ref="AM45:AR45"/>
    <x:mergeCell ref="AM46:AR46"/>
    <x:mergeCell ref="AM47:AR47"/>
    <x:mergeCell ref="AM48:AR48"/>
    <x:mergeCell ref="A36:A41"/>
    <x:mergeCell ref="AM36:AR36"/>
    <x:mergeCell ref="AM37:AR37"/>
    <x:mergeCell ref="AM38:AR38"/>
    <x:mergeCell ref="AM39:AR39"/>
    <x:mergeCell ref="AM40:AR40"/>
    <x:mergeCell ref="AM41:AR41"/>
    <x:mergeCell ref="A28:A34"/>
    <x:mergeCell ref="AM23:AR23"/>
    <x:mergeCell ref="AM25:AR25"/>
    <x:mergeCell ref="A1:M1"/>
    <x:mergeCell ref="N1:Q1"/>
    <x:mergeCell ref="R1:V1"/>
    <x:mergeCell ref="W1:AA1"/>
    <x:mergeCell ref="AB1:AM1"/>
    <x:mergeCell ref="AN1:AR1"/>
    <x:mergeCell ref="A13:A19"/>
    <x:mergeCell ref="AM6:AR6"/>
    <x:mergeCell ref="AM7:AR7"/>
    <x:mergeCell ref="AM8:AR8"/>
    <x:mergeCell ref="AM10:AR10"/>
    <x:mergeCell ref="AM11:AR11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6:A11"/>
    <x:mergeCell ref="AM19:AR19"/>
    <x:mergeCell ref="AM21:AR21"/>
    <x:mergeCell ref="AM22:AR22"/>
    <x:mergeCell ref="C36:W41"/>
    <x:mergeCell ref="C43:W48"/>
    <x:mergeCell ref="A21:A26"/>
    <x:mergeCell ref="AM13:AR13"/>
    <x:mergeCell ref="AM14:AR14"/>
    <x:mergeCell ref="AM15:AR15"/>
    <x:mergeCell ref="AM16:AR16"/>
    <x:mergeCell ref="AM17:AR17"/>
    <x:mergeCell ref="AM18:AR18"/>
    <x:mergeCell ref="AM29:AR29"/>
    <x:mergeCell ref="AM28:AR28"/>
    <x:mergeCell ref="AM34:AR34"/>
    <x:mergeCell ref="AM24:AR24"/>
    <x:mergeCell ref="AM26:AR26"/>
    <x:mergeCell ref="AM30:AR30"/>
    <x:mergeCell ref="AM31:AR31"/>
    <x:mergeCell ref="AM32:AR32"/>
    <x:mergeCell ref="AM33:AR33"/>
  </x:mergeCells>
  <x:conditionalFormatting sqref="E8:E11">
    <x:cfRule type="containsText" dxfId="69" priority="98" stopIfTrue="1" operator="containsText" text="N">
      <x:formula>NOT(ISERROR(FIND(UPPER("N"),UPPER(E8))))</x:formula>
      <x:formula>"N"</x:formula>
    </x:cfRule>
  </x:conditionalFormatting>
  <x:conditionalFormatting sqref="E21:E21">
    <x:cfRule type="containsText" dxfId="68" priority="103" stopIfTrue="1" operator="containsText" text="N">
      <x:formula>NOT(ISERROR(FIND(UPPER("N"),UPPER(E21))))</x:formula>
      <x:formula>"N"</x:formula>
    </x:cfRule>
  </x:conditionalFormatting>
  <x:conditionalFormatting sqref="Q7:Q7">
    <x:cfRule type="containsText" dxfId="67" priority="95" stopIfTrue="1" operator="containsText" text="N">
      <x:formula>NOT(ISERROR(FIND(UPPER("N"),UPPER(Q7))))</x:formula>
      <x:formula>"N"</x:formula>
    </x:cfRule>
  </x:conditionalFormatting>
  <x:conditionalFormatting sqref="I19:M19">
    <x:cfRule type="containsText" dxfId="65" priority="89" stopIfTrue="1" operator="containsText" text="N">
      <x:formula>NOT(ISERROR(FIND(UPPER("N"),UPPER(I19))))</x:formula>
      <x:formula>"N"</x:formula>
    </x:cfRule>
  </x:conditionalFormatting>
  <x:conditionalFormatting sqref="S7:S8">
    <x:cfRule type="containsText" dxfId="63" priority="38" stopIfTrue="1" operator="containsText" text="N">
      <x:formula>NOT(ISERROR(FIND(UPPER("N"),UPPER(S7))))</x:formula>
      <x:formula>"N"</x:formula>
    </x:cfRule>
  </x:conditionalFormatting>
  <x:conditionalFormatting sqref="U8:U8">
    <x:cfRule type="containsText" dxfId="62" priority="39" stopIfTrue="1" operator="containsText" text="N">
      <x:formula>NOT(ISERROR(FIND(UPPER("N"),UPPER(U8))))</x:formula>
      <x:formula>"N"</x:formula>
    </x:cfRule>
  </x:conditionalFormatting>
  <x:conditionalFormatting sqref="Q6:S6 I7:M7 I8:Q11">
    <x:cfRule type="containsText" dxfId="66" priority="15" stopIfTrue="1" operator="containsText" text="N">
      <x:formula>NOT(ISERROR(FIND(UPPER("N"),UPPER(I6))))</x:formula>
      <x:formula>"N"</x:formula>
    </x:cfRule>
  </x:conditionalFormatting>
  <x:conditionalFormatting sqref="I22:M25">
    <x:cfRule type="containsText" dxfId="64" priority="3" stopIfTrue="1" operator="containsText" text="N">
      <x:formula>NOT(ISERROR(FIND(UPPER("N"),UPPER(I22))))</x:formula>
      <x:formula>"N"</x:formula>
    </x:cfRule>
  </x:conditionalFormatting>
  <x:conditionalFormatting sqref="S34:S34 Q34:Q34 E34:M34 E28:Q29 I18:Q18 N14:Q17 S13:S14 Q13:Q13 I13:M17 E14:E16 Q26:Q26 N19:Q19 M26:M26 U23:U23 S22:S23 Q21:S21 N23:Q25 Q22:Q22">
    <x:cfRule type="containsText" dxfId="12" priority="2" stopIfTrue="1" operator="containsText" text="N">
      <x:formula>NOT(ISERROR(FIND(UPPER("N"),UPPER(E13))))</x:formula>
      <x:formula>"N"</x:formula>
    </x:cfRule>
  </x:conditionalFormatting>
  <x:conditionalFormatting sqref="S33:S33 Q32:S32 Q33:Q33 E32:F32 E33:M33 E30:Q31">
    <x:cfRule type="containsText" dxfId="12" priority="1" stopIfTrue="1" operator="containsText" text="N">
      <x:formula>NOT(ISERROR(FIND(UPPER("N"),UPPER(E30))))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AU51"/>
  <x:sheetViews>
    <x:sheetView topLeftCell="A1" zoomScale="82" zoomScaleNormal="82" zoomScaleSheetLayoutView="75" workbookViewId="0">
      <x:pane xSplit="0" ySplit="4" topLeftCell="A11" activePane="bottomLeft" state="frozen"/>
      <x:selection pane="bottomLeft" activeCell="AS44" activeCellId="0" sqref="AS44:AS44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hidden="1" customWidth="1"/>
    <x:col min="6" max="8" width="5.375" style="40" hidden="1" customWidth="1"/>
    <x:col min="9" max="18" width="7.125" style="40" hidden="1" customWidth="1"/>
    <x:col min="19" max="20" width="7.125" style="40" customWidth="1"/>
    <x:col min="21" max="21" width="7.125" style="41" customWidth="1"/>
    <x:col min="22" max="38" width="7.125" style="40" customWidth="1"/>
    <x:col min="39" max="42" width="5.625" style="40" customWidth="1"/>
    <x:col min="44" max="44" width="10.5" style="40" customWidth="1"/>
    <x:col min="45" max="45" width="8.75" style="4" bestFit="1" customWidth="1"/>
    <x:col min="46" max="46" width="8.75" style="13" bestFit="1" customWidth="1"/>
  </x:cols>
  <x:sheetData>
    <x:row r="1" spans="1:44" ht="25.5" customHeight="1">
      <x:c r="A1" s="1046" t="s">
        <x:v>121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 s="39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 s="39" customFormat="1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4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317</x:v>
      </x:c>
      <x:c r="J4" s="96" t="s">
        <x:v>332</x:v>
      </x:c>
      <x:c r="K4" s="96" t="s">
        <x:v>299</x:v>
      </x:c>
      <x:c r="L4" s="98" t="s">
        <x:v>296</x:v>
      </x:c>
      <x:c r="M4" s="95" t="s">
        <x:v>283</x:v>
      </x:c>
      <x:c r="N4" s="97" t="s">
        <x:v>338</x:v>
      </x:c>
      <x:c r="O4" s="96" t="s">
        <x:v>297</x:v>
      </x:c>
      <x:c r="P4" s="96" t="s">
        <x:v>285</x:v>
      </x:c>
      <x:c r="Q4" s="96" t="s">
        <x:v>274</x:v>
      </x:c>
      <x:c r="R4" s="95"/>
      <x:c r="S4" s="97" t="s">
        <x:v>268</x:v>
      </x:c>
      <x:c r="T4" s="96" t="s">
        <x:v>248</x:v>
      </x:c>
      <x:c r="U4" s="96" t="s">
        <x:v>244</x:v>
      </x:c>
      <x:c r="V4" s="96" t="s">
        <x:v>291</x:v>
      </x:c>
      <x:c r="W4" s="95"/>
      <x:c r="X4" s="97" t="s">
        <x:v>243</x:v>
      </x:c>
      <x:c r="Y4" s="133" t="s">
        <x:v>327</x:v>
      </x:c>
      <x:c r="Z4" s="96" t="s">
        <x:v>233</x:v>
      </x:c>
      <x:c r="AA4" s="96" t="s">
        <x:v>309</x:v>
      </x:c>
      <x:c r="AB4" s="95" t="s">
        <x:v>232</x:v>
      </x:c>
      <x:c r="AC4" s="97" t="s">
        <x:v>247</x:v>
      </x:c>
      <x:c r="AD4" s="96" t="s">
        <x:v>307</x:v>
      </x:c>
      <x:c r="AE4" s="96" t="s">
        <x:v>333</x:v>
      </x:c>
      <x:c r="AF4" s="96" t="s">
        <x:v>329</x:v>
      </x:c>
      <x:c r="AG4" s="95"/>
      <x:c r="AH4" s="97" t="s">
        <x:v>268</x:v>
      </x:c>
      <x:c r="AI4" s="96" t="s">
        <x:v>248</x:v>
      </x:c>
      <x:c r="AJ4" s="96" t="s">
        <x:v>244</x:v>
      </x:c>
      <x:c r="AK4" s="96" t="s">
        <x:v>291</x:v>
      </x:c>
      <x:c r="AL4" s="98" t="s">
        <x:v>325</x:v>
      </x:c>
      <x:c r="AM4" s="1072"/>
      <x:c r="AN4" s="1073"/>
      <x:c r="AO4" s="1073"/>
      <x:c r="AP4" s="1073"/>
      <x:c r="AQ4" s="1073"/>
      <x:c r="AR4" s="1074"/>
    </x:row>
    <x:row r="5" spans="1:44" ht="16.5" customHeight="1">
      <x:c r="A5" s="54"/>
      <x:c r="B5" s="83"/>
      <x:c r="C5" s="54"/>
      <x:c r="D5" s="54"/>
      <x:c r="E5" s="54"/>
      <x:c r="F5" s="54"/>
      <x:c r="G5" s="54"/>
      <x:c r="H5" s="54"/>
      <x:c r="I5" s="99"/>
      <x:c r="J5" s="99"/>
      <x:c r="K5" s="99"/>
      <x:c r="L5" s="99"/>
      <x:c r="M5" s="99"/>
      <x:c r="N5" s="105"/>
      <x:c r="O5" s="99"/>
      <x:c r="P5" s="105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100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</x:row>
    <x:row r="6" spans="1:44" ht="16.5" customHeight="1">
      <x:c r="A6" s="1129">
        <x:v>0.083333333333333329</x:v>
      </x:c>
      <x:c r="B6" s="55"/>
      <x:c r="C6" s="55"/>
      <x:c r="D6" s="55"/>
      <x:c r="E6" s="51"/>
      <x:c r="F6" s="51"/>
      <x:c r="G6" s="51"/>
      <x:c r="H6" s="51"/>
      <x:c r="I6" s="123"/>
      <x:c r="J6" s="58"/>
      <x:c r="K6" s="58"/>
      <x:c r="L6" s="58"/>
      <x:c r="M6" s="124"/>
      <x:c r="N6" s="127"/>
      <x:c r="O6" s="58"/>
      <x:c r="P6" s="58"/>
      <x:c r="Q6" s="57"/>
      <x:c r="R6" s="138"/>
      <x:c r="S6" s="119"/>
      <x:c r="T6" s="57"/>
      <x:c r="U6" s="57"/>
      <x:c r="V6" s="57"/>
      <x:c r="W6" s="138"/>
      <x:c r="X6" s="119"/>
      <x:c r="Y6" s="145"/>
      <x:c r="Z6" s="57"/>
      <x:c r="AA6" s="57"/>
      <x:c r="AB6" s="121"/>
      <x:c r="AC6" s="119"/>
      <x:c r="AD6" s="57"/>
      <x:c r="AE6" s="57"/>
      <x:c r="AF6" s="57"/>
      <x:c r="AG6" s="138"/>
      <x:c r="AH6" s="57"/>
      <x:c r="AI6" s="57"/>
      <x:c r="AJ6" s="57"/>
      <x:c r="AK6" s="57"/>
      <x:c r="AL6" s="101"/>
      <x:c r="AM6" s="1026"/>
      <x:c r="AN6" s="1027"/>
      <x:c r="AO6" s="1027"/>
      <x:c r="AP6" s="1027"/>
      <x:c r="AQ6" s="1027"/>
      <x:c r="AR6" s="1028"/>
    </x:row>
    <x:row r="7" spans="1:44" ht="17.25" customHeight="1">
      <x:c r="A7" s="1116"/>
      <x:c r="B7" s="84"/>
      <x:c r="C7" s="71"/>
      <x:c r="D7" s="66"/>
      <x:c r="E7" s="44"/>
      <x:c r="F7" s="44"/>
      <x:c r="G7" s="44"/>
      <x:c r="H7" s="44"/>
      <x:c r="I7" s="125"/>
      <x:c r="J7" s="85"/>
      <x:c r="K7" s="85"/>
      <x:c r="L7" s="85"/>
      <x:c r="M7" s="126"/>
      <x:c r="N7" s="118"/>
      <x:c r="O7" s="72"/>
      <x:c r="P7" s="72"/>
      <x:c r="Q7" s="71"/>
      <x:c r="R7" s="139"/>
      <x:c r="S7" s="120"/>
      <x:c r="T7" s="71"/>
      <x:c r="U7" s="71"/>
      <x:c r="V7" s="71"/>
      <x:c r="W7" s="139"/>
      <x:c r="X7" s="120"/>
      <x:c r="Y7" s="146"/>
      <x:c r="Z7" s="71"/>
      <x:c r="AA7" s="71"/>
      <x:c r="AB7" s="122"/>
      <x:c r="AC7" s="120"/>
      <x:c r="AD7" s="71"/>
      <x:c r="AE7" s="71"/>
      <x:c r="AF7" s="71"/>
      <x:c r="AG7" s="139"/>
      <x:c r="AH7" s="71"/>
      <x:c r="AI7" s="71"/>
      <x:c r="AJ7" s="71"/>
      <x:c r="AK7" s="71"/>
      <x:c r="AL7" s="102"/>
      <x:c r="AM7" s="1029"/>
      <x:c r="AN7" s="1030"/>
      <x:c r="AO7" s="1030"/>
      <x:c r="AP7" s="1030"/>
      <x:c r="AQ7" s="1030"/>
      <x:c r="AR7" s="1031"/>
    </x:row>
    <x:row r="8" spans="1:44" ht="17.449999999999999" customHeight="1">
      <x:c r="A8" s="1116"/>
      <x:c r="B8" s="85"/>
      <x:c r="C8" s="71"/>
      <x:c r="D8" s="66"/>
      <x:c r="E8" s="44"/>
      <x:c r="F8" s="44"/>
      <x:c r="G8" s="44"/>
      <x:c r="H8" s="44"/>
      <x:c r="I8" s="125"/>
      <x:c r="J8" s="85"/>
      <x:c r="K8" s="85"/>
      <x:c r="L8" s="85"/>
      <x:c r="M8" s="126"/>
      <x:c r="N8" s="125"/>
      <x:c r="O8" s="85"/>
      <x:c r="P8" s="85"/>
      <x:c r="Q8" s="85"/>
      <x:c r="R8" s="139"/>
      <x:c r="S8" s="120"/>
      <x:c r="T8" s="71"/>
      <x:c r="U8" s="71"/>
      <x:c r="V8" s="71"/>
      <x:c r="W8" s="139"/>
      <x:c r="X8" s="120"/>
      <x:c r="Y8" s="146"/>
      <x:c r="Z8" s="71"/>
      <x:c r="AA8" s="71"/>
      <x:c r="AB8" s="122"/>
      <x:c r="AC8" s="120"/>
      <x:c r="AD8" s="71"/>
      <x:c r="AE8" s="71"/>
      <x:c r="AF8" s="71"/>
      <x:c r="AG8" s="139"/>
      <x:c r="AH8" s="71"/>
      <x:c r="AI8" s="71"/>
      <x:c r="AJ8" s="71"/>
      <x:c r="AK8" s="71"/>
      <x:c r="AL8" s="102"/>
      <x:c r="AM8" s="1029"/>
      <x:c r="AN8" s="1030"/>
      <x:c r="AO8" s="1030"/>
      <x:c r="AP8" s="1030"/>
      <x:c r="AQ8" s="1030"/>
      <x:c r="AR8" s="1031"/>
    </x:row>
    <x:row r="9" spans="1:44" ht="17.449999999999999" customHeight="1">
      <x:c r="A9" s="1130"/>
      <x:c r="B9" s="86"/>
      <x:c r="C9" s="60"/>
      <x:c r="D9" s="42"/>
      <x:c r="E9" s="47"/>
      <x:c r="F9" s="47"/>
      <x:c r="G9" s="47"/>
      <x:c r="H9" s="47"/>
      <x:c r="I9" s="125"/>
      <x:c r="J9" s="85"/>
      <x:c r="K9" s="85"/>
      <x:c r="L9" s="85"/>
      <x:c r="M9" s="126"/>
      <x:c r="N9" s="125"/>
      <x:c r="O9" s="85"/>
      <x:c r="P9" s="85"/>
      <x:c r="Q9" s="85"/>
      <x:c r="R9" s="139"/>
      <x:c r="S9" s="120"/>
      <x:c r="T9" s="71"/>
      <x:c r="U9" s="71"/>
      <x:c r="V9" s="71"/>
      <x:c r="W9" s="139"/>
      <x:c r="X9" s="120"/>
      <x:c r="Y9" s="146"/>
      <x:c r="Z9" s="71"/>
      <x:c r="AA9" s="71"/>
      <x:c r="AB9" s="122"/>
      <x:c r="AC9" s="120"/>
      <x:c r="AD9" s="71"/>
      <x:c r="AE9" s="71"/>
      <x:c r="AF9" s="71"/>
      <x:c r="AG9" s="139"/>
      <x:c r="AH9" s="71"/>
      <x:c r="AI9" s="71"/>
      <x:c r="AJ9" s="71"/>
      <x:c r="AK9" s="71"/>
      <x:c r="AL9" s="102"/>
      <x:c r="AM9" s="1029"/>
      <x:c r="AN9" s="1030"/>
      <x:c r="AO9" s="1030"/>
      <x:c r="AP9" s="1030"/>
      <x:c r="AQ9" s="1030"/>
      <x:c r="AR9" s="1031"/>
    </x:row>
    <x:row r="10" spans="1:44" ht="17.449999999999999" customHeight="1">
      <x:c r="A10" s="1130"/>
      <x:c r="B10" s="86"/>
      <x:c r="C10" s="60"/>
      <x:c r="D10" s="42"/>
      <x:c r="E10" s="47"/>
      <x:c r="F10" s="47"/>
      <x:c r="G10" s="47"/>
      <x:c r="H10" s="47"/>
      <x:c r="I10" s="128"/>
      <x:c r="J10" s="86"/>
      <x:c r="K10" s="86"/>
      <x:c r="L10" s="86"/>
      <x:c r="M10" s="129"/>
      <x:c r="N10" s="128"/>
      <x:c r="O10" s="86"/>
      <x:c r="P10" s="86"/>
      <x:c r="Q10" s="111"/>
      <x:c r="R10" s="140"/>
      <x:c r="S10" s="114"/>
      <x:c r="T10" s="77"/>
      <x:c r="U10" s="77"/>
      <x:c r="V10" s="77"/>
      <x:c r="W10" s="140"/>
      <x:c r="X10" s="114"/>
      <x:c r="Y10" s="147"/>
      <x:c r="Z10" s="77"/>
      <x:c r="AA10" s="77"/>
      <x:c r="AB10" s="115"/>
      <x:c r="AC10" s="114"/>
      <x:c r="AD10" s="77"/>
      <x:c r="AE10" s="77"/>
      <x:c r="AF10" s="77"/>
      <x:c r="AG10" s="140"/>
      <x:c r="AH10" s="77"/>
      <x:c r="AI10" s="77"/>
      <x:c r="AJ10" s="77"/>
      <x:c r="AK10" s="77"/>
      <x:c r="AL10" s="103"/>
      <x:c r="AM10" s="1032"/>
      <x:c r="AN10" s="1033"/>
      <x:c r="AO10" s="1033"/>
      <x:c r="AP10" s="1033"/>
      <x:c r="AQ10" s="1033"/>
      <x:c r="AR10" s="1034"/>
    </x:row>
    <x:row r="11" spans="1:44" ht="16.75">
      <x:c r="A11" s="1117"/>
      <x:c r="B11" s="73"/>
      <x:c r="C11" s="73"/>
      <x:c r="D11" s="68"/>
      <x:c r="E11" s="56"/>
      <x:c r="F11" s="56"/>
      <x:c r="G11" s="56"/>
      <x:c r="H11" s="56"/>
      <x:c r="I11" s="116"/>
      <x:c r="J11" s="80"/>
      <x:c r="K11" s="80"/>
      <x:c r="L11" s="80"/>
      <x:c r="M11" s="394" t="s">
        <x:v>281</x:v>
      </x:c>
      <x:c r="N11" s="116"/>
      <x:c r="O11" s="80"/>
      <x:c r="P11" s="80"/>
      <x:c r="Q11" s="80"/>
      <x:c r="R11" s="137"/>
      <x:c r="S11" s="116"/>
      <x:c r="T11" s="80"/>
      <x:c r="U11" s="80"/>
      <x:c r="V11" s="80"/>
      <x:c r="W11" s="137"/>
      <x:c r="X11" s="116"/>
      <x:c r="Y11" s="148"/>
      <x:c r="Z11" s="80"/>
      <x:c r="AA11" s="80"/>
      <x:c r="AB11" s="117"/>
      <x:c r="AC11" s="116"/>
      <x:c r="AD11" s="80"/>
      <x:c r="AE11" s="80"/>
      <x:c r="AF11" s="80"/>
      <x:c r="AG11" s="137"/>
      <x:c r="AH11" s="80"/>
      <x:c r="AI11" s="80"/>
      <x:c r="AJ11" s="80"/>
      <x:c r="AK11" s="80"/>
      <x:c r="AL11" s="104"/>
      <x:c r="AM11" s="1035"/>
      <x:c r="AN11" s="1036"/>
      <x:c r="AO11" s="1036"/>
      <x:c r="AP11" s="1036"/>
      <x:c r="AQ11" s="1036"/>
      <x:c r="AR11" s="1037"/>
    </x:row>
    <x:row r="12" spans="1:44">
      <x:c r="A12" s="475" t="s">
        <x:v>270</x:v>
      </x:c>
      <x:c r="B12" s="367"/>
      <x:c r="C12" s="216"/>
      <x:c r="D12" s="216"/>
      <x:c r="E12" s="216"/>
      <x:c r="F12" s="216"/>
      <x:c r="G12" s="216"/>
      <x:c r="H12" s="216"/>
      <x:c r="I12" s="476"/>
      <x:c r="J12" s="105"/>
      <x:c r="K12" s="105"/>
      <x:c r="L12" s="105"/>
      <x:c r="M12" s="105"/>
      <x:c r="N12" s="112"/>
      <x:c r="O12" s="105"/>
      <x:c r="P12" s="105"/>
      <x:c r="Q12" s="105"/>
      <x:c r="R12" s="105"/>
      <x:c r="S12" s="105"/>
      <x:c r="T12" s="105"/>
      <x:c r="U12" s="105"/>
      <x:c r="V12" s="105"/>
      <x:c r="W12" s="105"/>
      <x:c r="X12" s="105"/>
      <x:c r="Y12" s="105"/>
      <x:c r="Z12" s="105"/>
      <x:c r="AA12" s="105"/>
      <x:c r="AB12" s="105"/>
      <x:c r="AC12" s="105"/>
      <x:c r="AD12" s="105"/>
      <x:c r="AE12" s="105"/>
      <x:c r="AF12" s="105"/>
      <x:c r="AG12" s="105"/>
      <x:c r="AH12" s="105"/>
      <x:c r="AI12" s="105"/>
      <x:c r="AJ12" s="105"/>
      <x:c r="AK12" s="105"/>
      <x:c r="AL12" s="105"/>
      <x:c r="AM12" s="54"/>
      <x:c r="AN12" s="54"/>
      <x:c r="AO12" s="54"/>
      <x:c r="AP12" s="54"/>
      <x:c r="AQ12" s="54"/>
      <x:c r="AR12" s="54"/>
    </x:row>
    <x:row r="13" spans="1:44" ht="16.5" customHeight="1">
      <x:c r="A13" s="1164">
        <x:v>0.125</x:v>
      </x:c>
      <x:c r="B13" s="477"/>
      <x:c r="C13" s="478"/>
      <x:c r="D13" s="479"/>
      <x:c r="E13" s="480"/>
      <x:c r="F13" s="480"/>
      <x:c r="G13" s="480"/>
      <x:c r="H13" s="480"/>
      <x:c r="I13" s="481"/>
      <x:c r="J13" s="179"/>
      <x:c r="K13" s="179"/>
      <x:c r="L13" s="179"/>
      <x:c r="M13" s="482"/>
      <x:c r="N13" s="483"/>
      <x:c r="O13" s="179"/>
      <x:c r="P13" s="179"/>
      <x:c r="Q13" s="170"/>
      <x:c r="R13" s="484"/>
      <x:c r="S13" s="485"/>
      <x:c r="T13" s="170"/>
      <x:c r="U13" s="170"/>
      <x:c r="V13" s="170"/>
      <x:c r="W13" s="484"/>
      <x:c r="X13" s="485"/>
      <x:c r="Y13" s="486"/>
      <x:c r="Z13" s="170"/>
      <x:c r="AA13" s="170"/>
      <x:c r="AB13" s="487"/>
      <x:c r="AC13" s="485"/>
      <x:c r="AD13" s="170"/>
      <x:c r="AE13" s="170"/>
      <x:c r="AF13" s="170"/>
      <x:c r="AG13" s="484"/>
      <x:c r="AH13" s="170"/>
      <x:c r="AI13" s="170"/>
      <x:c r="AJ13" s="170"/>
      <x:c r="AK13" s="170"/>
      <x:c r="AL13" s="488"/>
      <x:c r="AM13" s="1156"/>
      <x:c r="AN13" s="1157"/>
      <x:c r="AO13" s="1157"/>
      <x:c r="AP13" s="1157"/>
      <x:c r="AQ13" s="1157"/>
      <x:c r="AR13" s="1158"/>
    </x:row>
    <x:row r="14" spans="1:44" ht="17.25" customHeight="1">
      <x:c r="A14" s="1165"/>
      <x:c r="B14" s="195"/>
      <x:c r="C14" s="196"/>
      <x:c r="D14" s="197"/>
      <x:c r="E14" s="44"/>
      <x:c r="F14" s="44"/>
      <x:c r="G14" s="44"/>
      <x:c r="H14" s="44"/>
      <x:c r="I14" s="90"/>
      <x:c r="J14" s="72"/>
      <x:c r="K14" s="72"/>
      <x:c r="L14" s="72"/>
      <x:c r="M14" s="126"/>
      <x:c r="N14" s="90"/>
      <x:c r="O14" s="72"/>
      <x:c r="P14" s="72"/>
      <x:c r="Q14" s="71"/>
      <x:c r="R14" s="139"/>
      <x:c r="S14" s="120"/>
      <x:c r="T14" s="71"/>
      <x:c r="U14" s="71"/>
      <x:c r="V14" s="71"/>
      <x:c r="W14" s="139"/>
      <x:c r="X14" s="120"/>
      <x:c r="Y14" s="146"/>
      <x:c r="Z14" s="71"/>
      <x:c r="AA14" s="71"/>
      <x:c r="AB14" s="122"/>
      <x:c r="AC14" s="120"/>
      <x:c r="AD14" s="71"/>
      <x:c r="AE14" s="71"/>
      <x:c r="AF14" s="71"/>
      <x:c r="AG14" s="139"/>
      <x:c r="AH14" s="71"/>
      <x:c r="AI14" s="71"/>
      <x:c r="AJ14" s="71"/>
      <x:c r="AK14" s="71"/>
      <x:c r="AL14" s="102"/>
      <x:c r="AM14" s="1029"/>
      <x:c r="AN14" s="1030"/>
      <x:c r="AO14" s="1030"/>
      <x:c r="AP14" s="1030"/>
      <x:c r="AQ14" s="1030"/>
      <x:c r="AR14" s="1159"/>
    </x:row>
    <x:row r="15" spans="1:44" ht="17.449999999999999" customHeight="1">
      <x:c r="A15" s="1165"/>
      <x:c r="B15" s="72"/>
      <x:c r="C15" s="71"/>
      <x:c r="D15" s="66"/>
      <x:c r="E15" s="44"/>
      <x:c r="F15" s="44"/>
      <x:c r="G15" s="44"/>
      <x:c r="H15" s="44"/>
      <x:c r="I15" s="90"/>
      <x:c r="J15" s="72"/>
      <x:c r="K15" s="72"/>
      <x:c r="L15" s="72"/>
      <x:c r="M15" s="126"/>
      <x:c r="N15" s="90"/>
      <x:c r="O15" s="72"/>
      <x:c r="P15" s="72"/>
      <x:c r="Q15" s="72"/>
      <x:c r="R15" s="139"/>
      <x:c r="S15" s="120"/>
      <x:c r="T15" s="71"/>
      <x:c r="U15" s="71"/>
      <x:c r="V15" s="71"/>
      <x:c r="W15" s="139"/>
      <x:c r="X15" s="120"/>
      <x:c r="Y15" s="146"/>
      <x:c r="Z15" s="71"/>
      <x:c r="AA15" s="71"/>
      <x:c r="AB15" s="122"/>
      <x:c r="AC15" s="120"/>
      <x:c r="AD15" s="71"/>
      <x:c r="AE15" s="71"/>
      <x:c r="AF15" s="71"/>
      <x:c r="AG15" s="139"/>
      <x:c r="AH15" s="71"/>
      <x:c r="AI15" s="71"/>
      <x:c r="AJ15" s="71"/>
      <x:c r="AK15" s="71"/>
      <x:c r="AL15" s="102"/>
      <x:c r="AM15" s="1029"/>
      <x:c r="AN15" s="1030"/>
      <x:c r="AO15" s="1030"/>
      <x:c r="AP15" s="1030"/>
      <x:c r="AQ15" s="1030"/>
      <x:c r="AR15" s="1159"/>
    </x:row>
    <x:row r="16" spans="1:45" s="24" customFormat="1" ht="17.449999999999999" customHeight="1">
      <x:c r="A16" s="1165"/>
      <x:c r="B16" s="61"/>
      <x:c r="C16" s="77"/>
      <x:c r="D16" s="42"/>
      <x:c r="E16" s="47"/>
      <x:c r="F16" s="47"/>
      <x:c r="G16" s="47"/>
      <x:c r="H16" s="47"/>
      <x:c r="I16" s="90"/>
      <x:c r="J16" s="72"/>
      <x:c r="K16" s="72"/>
      <x:c r="L16" s="72"/>
      <x:c r="M16" s="126"/>
      <x:c r="N16" s="90"/>
      <x:c r="O16" s="72"/>
      <x:c r="P16" s="72"/>
      <x:c r="Q16" s="72"/>
      <x:c r="R16" s="139"/>
      <x:c r="S16" s="120"/>
      <x:c r="T16" s="71"/>
      <x:c r="U16" s="71"/>
      <x:c r="V16" s="71"/>
      <x:c r="W16" s="139"/>
      <x:c r="X16" s="120"/>
      <x:c r="Y16" s="146"/>
      <x:c r="Z16" s="71"/>
      <x:c r="AA16" s="71"/>
      <x:c r="AB16" s="122"/>
      <x:c r="AC16" s="120"/>
      <x:c r="AD16" s="71"/>
      <x:c r="AE16" s="71"/>
      <x:c r="AF16" s="71"/>
      <x:c r="AG16" s="139"/>
      <x:c r="AH16" s="71"/>
      <x:c r="AI16" s="71"/>
      <x:c r="AJ16" s="71"/>
      <x:c r="AK16" s="71"/>
      <x:c r="AL16" s="102"/>
      <x:c r="AM16" s="1102"/>
      <x:c r="AN16" s="1103"/>
      <x:c r="AO16" s="1103"/>
      <x:c r="AP16" s="1103"/>
      <x:c r="AQ16" s="1103"/>
      <x:c r="AR16" s="1163"/>
      <x:c r="AS16" s="4"/>
    </x:row>
    <x:row r="17" spans="1:44" ht="17.449999999999999" customHeight="1">
      <x:c r="A17" s="1165"/>
      <x:c r="B17" s="61"/>
      <x:c r="C17" s="50"/>
      <x:c r="D17" s="42"/>
      <x:c r="E17" s="47"/>
      <x:c r="F17" s="47"/>
      <x:c r="G17" s="47"/>
      <x:c r="H17" s="47"/>
      <x:c r="I17" s="90"/>
      <x:c r="J17" s="72"/>
      <x:c r="K17" s="72"/>
      <x:c r="L17" s="72"/>
      <x:c r="M17" s="126"/>
      <x:c r="N17" s="90"/>
      <x:c r="O17" s="72"/>
      <x:c r="P17" s="72"/>
      <x:c r="Q17" s="72"/>
      <x:c r="R17" s="139"/>
      <x:c r="S17" s="120"/>
      <x:c r="T17" s="71"/>
      <x:c r="U17" s="71"/>
      <x:c r="V17" s="71"/>
      <x:c r="W17" s="139"/>
      <x:c r="X17" s="120"/>
      <x:c r="Y17" s="146"/>
      <x:c r="Z17" s="71"/>
      <x:c r="AA17" s="71"/>
      <x:c r="AB17" s="122"/>
      <x:c r="AC17" s="120"/>
      <x:c r="AD17" s="71"/>
      <x:c r="AE17" s="71"/>
      <x:c r="AF17" s="71"/>
      <x:c r="AG17" s="139"/>
      <x:c r="AH17" s="71"/>
      <x:c r="AI17" s="71"/>
      <x:c r="AJ17" s="71"/>
      <x:c r="AK17" s="71"/>
      <x:c r="AL17" s="102"/>
      <x:c r="AM17" s="1029"/>
      <x:c r="AN17" s="1030"/>
      <x:c r="AO17" s="1030"/>
      <x:c r="AP17" s="1030"/>
      <x:c r="AQ17" s="1030"/>
      <x:c r="AR17" s="1159"/>
    </x:row>
    <x:row r="18" spans="1:44" ht="17.449999999999999" customHeight="1">
      <x:c r="A18" s="1166"/>
      <x:c r="B18" s="489"/>
      <x:c r="C18" s="490"/>
      <x:c r="D18" s="491"/>
      <x:c r="E18" s="492"/>
      <x:c r="F18" s="492"/>
      <x:c r="G18" s="492"/>
      <x:c r="H18" s="492"/>
      <x:c r="I18" s="493"/>
      <x:c r="J18" s="489"/>
      <x:c r="K18" s="489"/>
      <x:c r="L18" s="489"/>
      <x:c r="M18" s="494"/>
      <x:c r="N18" s="493"/>
      <x:c r="O18" s="489"/>
      <x:c r="P18" s="489"/>
      <x:c r="Q18" s="495"/>
      <x:c r="R18" s="496"/>
      <x:c r="S18" s="497"/>
      <x:c r="T18" s="498"/>
      <x:c r="U18" s="498"/>
      <x:c r="V18" s="498"/>
      <x:c r="W18" s="496"/>
      <x:c r="X18" s="497"/>
      <x:c r="Y18" s="499"/>
      <x:c r="Z18" s="498"/>
      <x:c r="AA18" s="498"/>
      <x:c r="AB18" s="500"/>
      <x:c r="AC18" s="497"/>
      <x:c r="AD18" s="498"/>
      <x:c r="AE18" s="498"/>
      <x:c r="AF18" s="498"/>
      <x:c r="AG18" s="496"/>
      <x:c r="AH18" s="498"/>
      <x:c r="AI18" s="498"/>
      <x:c r="AJ18" s="498"/>
      <x:c r="AK18" s="498"/>
      <x:c r="AL18" s="501"/>
      <x:c r="AM18" s="1160"/>
      <x:c r="AN18" s="1161"/>
      <x:c r="AO18" s="1161"/>
      <x:c r="AP18" s="1161"/>
      <x:c r="AQ18" s="1161"/>
      <x:c r="AR18" s="1162"/>
    </x:row>
    <x:row r="19" spans="1:44" ht="16.75">
      <x:c r="A19" s="565"/>
      <x:c r="B19" s="234"/>
      <x:c r="C19" s="235"/>
      <x:c r="D19" s="235"/>
      <x:c r="E19" s="502"/>
      <x:c r="F19" s="502"/>
      <x:c r="G19" s="502"/>
      <x:c r="H19" s="502"/>
      <x:c r="I19" s="236"/>
      <x:c r="J19" s="105"/>
      <x:c r="K19" s="105"/>
      <x:c r="L19" s="105"/>
      <x:c r="M19" s="105"/>
      <x:c r="N19" s="112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 s="105"/>
      <x:c r="AB19" s="105"/>
      <x:c r="AC19" s="105"/>
      <x:c r="AD19" s="105"/>
      <x:c r="AE19" s="105"/>
      <x:c r="AF19" s="105"/>
      <x:c r="AG19" s="105"/>
      <x:c r="AH19" s="105"/>
      <x:c r="AI19" s="105"/>
      <x:c r="AJ19" s="105"/>
      <x:c r="AK19" s="105"/>
      <x:c r="AL19" s="105"/>
      <x:c r="AM19" s="54"/>
      <x:c r="AN19" s="54"/>
      <x:c r="AO19" s="54"/>
      <x:c r="AP19" s="54"/>
      <x:c r="AQ19" s="54"/>
      <x:c r="AR19" s="54"/>
    </x:row>
    <x:row r="20" spans="1:46" ht="16.5" customHeight="1">
      <x:c r="A20" s="1168" t="s">
        <x:v>48</x:v>
      </x:c>
      <x:c r="B20" s="651" t="s">
        <x:v>186</x:v>
      </x:c>
      <x:c r="C20" s="266" t="s">
        <x:v>172</x:v>
      </x:c>
      <x:c r="D20" s="742" t="s">
        <x:v>378</x:v>
      </x:c>
      <x:c r="E20" s="743"/>
      <x:c r="F20" s="46"/>
      <x:c r="G20" s="46"/>
      <x:c r="H20" s="45"/>
      <x:c r="I20" s="307"/>
      <x:c r="J20" s="307"/>
      <x:c r="K20" s="307"/>
      <x:c r="L20" s="307"/>
      <x:c r="M20" s="153"/>
      <x:c r="N20" s="307"/>
      <x:c r="O20" s="332"/>
      <x:c r="P20" s="307" t="s">
        <x:v>74</x:v>
      </x:c>
      <x:c r="Q20" s="593"/>
      <x:c r="R20" s="149"/>
      <x:c r="S20" s="665"/>
      <x:c r="T20" s="593"/>
      <x:c r="U20" s="593"/>
      <x:c r="V20" s="593"/>
      <x:c r="W20" s="138"/>
      <x:c r="X20" s="665"/>
      <x:c r="Y20" s="145"/>
      <x:c r="Z20" s="593"/>
      <x:c r="AA20" s="593"/>
      <x:c r="AB20" s="606" t="s">
        <x:v>44</x:v>
      </x:c>
      <x:c r="AC20" s="975"/>
      <x:c r="AD20" s="57"/>
      <x:c r="AE20" s="57"/>
      <x:c r="AF20" s="57"/>
      <x:c r="AG20" s="145"/>
      <x:c r="AH20" s="57"/>
      <x:c r="AI20" s="57"/>
      <x:c r="AJ20" s="57"/>
      <x:c r="AK20" s="57"/>
      <x:c r="AL20" s="101"/>
      <x:c r="AM20" s="1026"/>
      <x:c r="AN20" s="1027"/>
      <x:c r="AO20" s="1027"/>
      <x:c r="AP20" s="1027"/>
      <x:c r="AQ20" s="1027"/>
      <x:c r="AR20" s="1028"/>
      <x:c r="AS20" s="286" t="s">
        <x:v>43</x:v>
      </x:c>
      <x:c r="AT20" s="286" t="s">
        <x:v>145</x:v>
      </x:c>
    </x:row>
    <x:row r="21" spans="1:46" ht="17.449999999999999" customHeight="1">
      <x:c r="A21" s="1169"/>
      <x:c r="B21" s="201" t="s">
        <x:v>321</x:v>
      </x:c>
      <x:c r="C21" s="72" t="s">
        <x:v>184</x:v>
      </x:c>
      <x:c r="D21" s="323" t="s">
        <x:v>375</x:v>
      </x:c>
      <x:c r="E21" s="253"/>
      <x:c r="F21" s="44"/>
      <x:c r="G21" s="44"/>
      <x:c r="H21" s="44"/>
      <x:c r="I21" s="72"/>
      <x:c r="J21" s="72"/>
      <x:c r="K21" s="72"/>
      <x:c r="L21" s="72"/>
      <x:c r="M21" s="72"/>
      <x:c r="N21" s="154"/>
      <x:c r="O21" s="588"/>
      <x:c r="P21" s="588"/>
      <x:c r="Q21" s="738"/>
      <x:c r="R21" s="150"/>
      <x:c r="S21" s="292"/>
      <x:c r="T21" s="302"/>
      <x:c r="U21" s="302"/>
      <x:c r="V21" s="302"/>
      <x:c r="W21" s="139"/>
      <x:c r="X21" s="292"/>
      <x:c r="Y21" s="146"/>
      <x:c r="Z21" s="302" t="s">
        <x:v>41</x:v>
      </x:c>
      <x:c r="AA21" s="146"/>
      <x:c r="AB21" s="139" t="s">
        <x:v>44</x:v>
      </x:c>
      <x:c r="AC21" s="459"/>
      <x:c r="AD21" s="71"/>
      <x:c r="AE21" s="71"/>
      <x:c r="AF21" s="71"/>
      <x:c r="AG21" s="146"/>
      <x:c r="AH21" s="71"/>
      <x:c r="AI21" s="71"/>
      <x:c r="AJ21" s="71"/>
      <x:c r="AK21" s="71"/>
      <x:c r="AL21" s="102"/>
      <x:c r="AM21" s="1099" t="s">
        <x:v>410</x:v>
      </x:c>
      <x:c r="AN21" s="1100"/>
      <x:c r="AO21" s="1100"/>
      <x:c r="AP21" s="1100"/>
      <x:c r="AQ21" s="1100"/>
      <x:c r="AR21" s="1101"/>
      <x:c r="AS21" s="286" t="s">
        <x:v>43</x:v>
      </x:c>
      <x:c r="AT21" s="286"/>
    </x:row>
    <x:row r="22" spans="1:46" ht="17.449999999999999" customHeight="1">
      <x:c r="A22" s="1169"/>
      <x:c r="B22" s="201" t="s">
        <x:v>356</x:v>
      </x:c>
      <x:c r="C22" s="72" t="s">
        <x:v>159</x:v>
      </x:c>
      <x:c r="D22" s="323" t="s">
        <x:v>378</x:v>
      </x:c>
      <x:c r="E22" s="253"/>
      <x:c r="F22" s="44"/>
      <x:c r="G22" s="44"/>
      <x:c r="H22" s="44"/>
      <x:c r="I22" s="72"/>
      <x:c r="J22" s="72"/>
      <x:c r="K22" s="72"/>
      <x:c r="L22" s="72"/>
      <x:c r="M22" s="72"/>
      <x:c r="N22" s="154"/>
      <x:c r="O22" s="588"/>
      <x:c r="P22" s="588"/>
      <x:c r="Q22" s="738"/>
      <x:c r="R22" s="150"/>
      <x:c r="S22" s="292" t="s">
        <x:v>217</x:v>
      </x:c>
      <x:c r="T22" s="71"/>
      <x:c r="U22" s="71"/>
      <x:c r="V22" s="71"/>
      <x:c r="W22" s="678"/>
      <x:c r="X22" s="686"/>
      <x:c r="Y22" s="385"/>
      <x:c r="Z22" s="302"/>
      <x:c r="AA22" s="302"/>
      <x:c r="AB22" s="605" t="s">
        <x:v>126</x:v>
      </x:c>
      <x:c r="AC22" s="459"/>
      <x:c r="AD22" s="71"/>
      <x:c r="AE22" s="71"/>
      <x:c r="AF22" s="71"/>
      <x:c r="AG22" s="146"/>
      <x:c r="AH22" s="71"/>
      <x:c r="AI22" s="71"/>
      <x:c r="AJ22" s="71"/>
      <x:c r="AK22" s="71"/>
      <x:c r="AL22" s="102"/>
      <x:c r="AM22" s="1099" t="s">
        <x:v>404</x:v>
      </x:c>
      <x:c r="AN22" s="1100"/>
      <x:c r="AO22" s="1100"/>
      <x:c r="AP22" s="1100"/>
      <x:c r="AQ22" s="1100"/>
      <x:c r="AR22" s="1101"/>
      <x:c r="AS22" s="286" t="s">
        <x:v>43</x:v>
      </x:c>
      <x:c r="AT22" s="9"/>
    </x:row>
    <x:row r="23" spans="1:44" ht="17.449999999999999" customHeight="1">
      <x:c r="A23" s="1169"/>
      <x:c r="B23" s="201" t="s">
        <x:v>177</x:v>
      </x:c>
      <x:c r="C23" s="72" t="s">
        <x:v>237</x:v>
      </x:c>
      <x:c r="D23" s="323" t="s">
        <x:v>378</x:v>
      </x:c>
      <x:c r="E23" s="253"/>
      <x:c r="F23" s="44"/>
      <x:c r="G23" s="44"/>
      <x:c r="H23" s="44"/>
      <x:c r="I23" s="72"/>
      <x:c r="J23" s="72"/>
      <x:c r="K23" s="72"/>
      <x:c r="L23" s="72"/>
      <x:c r="M23" s="72"/>
      <x:c r="N23" s="154"/>
      <x:c r="O23" s="588"/>
      <x:c r="P23" s="588"/>
      <x:c r="Q23" s="738"/>
      <x:c r="R23" s="150"/>
      <x:c r="S23" s="686"/>
      <x:c r="T23" s="71"/>
      <x:c r="U23" s="71"/>
      <x:c r="V23" s="71"/>
      <x:c r="W23" s="678"/>
      <x:c r="X23" s="686"/>
      <x:c r="Y23" s="385" t="s">
        <x:v>99</x:v>
      </x:c>
      <x:c r="Z23" s="302" t="s">
        <x:v>177</x:v>
      </x:c>
      <x:c r="AA23" s="302" t="s">
        <x:v>177</x:v>
      </x:c>
      <x:c r="AB23" s="605" t="s">
        <x:v>177</x:v>
      </x:c>
      <x:c r="AC23" s="459"/>
      <x:c r="AD23" s="71"/>
      <x:c r="AE23" s="71"/>
      <x:c r="AF23" s="71"/>
      <x:c r="AG23" s="146"/>
      <x:c r="AH23" s="71"/>
      <x:c r="AI23" s="71"/>
      <x:c r="AJ23" s="71"/>
      <x:c r="AK23" s="71"/>
      <x:c r="AL23" s="102"/>
      <x:c r="AM23" s="1099" t="s">
        <x:v>10</x:v>
      </x:c>
      <x:c r="AN23" s="1100"/>
      <x:c r="AO23" s="1100"/>
      <x:c r="AP23" s="1100"/>
      <x:c r="AQ23" s="1100"/>
      <x:c r="AR23" s="1101"/>
    </x:row>
    <x:row r="24" spans="1:46" s="35" customFormat="1" ht="17.449999999999999" customHeight="1">
      <x:c r="A24" s="1169"/>
      <x:c r="B24" s="201" t="s">
        <x:v>337</x:v>
      </x:c>
      <x:c r="C24" s="72" t="s">
        <x:v>275</x:v>
      </x:c>
      <x:c r="D24" s="323" t="s">
        <x:v>378</x:v>
      </x:c>
      <x:c r="E24" s="253"/>
      <x:c r="F24" s="44"/>
      <x:c r="G24" s="44"/>
      <x:c r="H24" s="44"/>
      <x:c r="I24" s="72"/>
      <x:c r="J24" s="72"/>
      <x:c r="K24" s="72"/>
      <x:c r="L24" s="72"/>
      <x:c r="M24" s="72"/>
      <x:c r="N24" s="72"/>
      <x:c r="O24" s="366"/>
      <x:c r="P24" s="662"/>
      <x:c r="Q24" s="739"/>
      <x:c r="R24" s="386"/>
      <x:c r="S24" s="120"/>
      <x:c r="T24" s="71"/>
      <x:c r="U24" s="71"/>
      <x:c r="V24" s="71"/>
      <x:c r="W24" s="678"/>
      <x:c r="X24" s="686"/>
      <x:c r="Y24" s="385"/>
      <x:c r="Z24" s="385"/>
      <x:c r="AA24" s="385"/>
      <x:c r="AB24" s="605" t="s">
        <x:v>374</x:v>
      </x:c>
      <x:c r="AC24" s="459" t="s">
        <x:v>323</x:v>
      </x:c>
      <x:c r="AD24" s="71"/>
      <x:c r="AE24" s="71"/>
      <x:c r="AF24" s="71"/>
      <x:c r="AG24" s="146"/>
      <x:c r="AH24" s="71"/>
      <x:c r="AI24" s="71"/>
      <x:c r="AJ24" s="71"/>
      <x:c r="AK24" s="71"/>
      <x:c r="AL24" s="102"/>
      <x:c r="AM24" s="1099"/>
      <x:c r="AN24" s="1100"/>
      <x:c r="AO24" s="1100"/>
      <x:c r="AP24" s="1100"/>
      <x:c r="AQ24" s="1100"/>
      <x:c r="AR24" s="1101"/>
      <x:c r="AS24" s="4"/>
      <x:c r="AT24" s="286" t="s">
        <x:v>145</x:v>
      </x:c>
    </x:row>
    <x:row r="25" spans="1:46" s="35" customFormat="1" ht="17.449999999999999" customHeight="1">
      <x:c r="A25" s="1169"/>
      <x:c r="B25" s="192" t="s">
        <x:v>192</x:v>
      </x:c>
      <x:c r="C25" s="190" t="s">
        <x:v>367</x:v>
      </x:c>
      <x:c r="D25" s="191" t="s">
        <x:v>375</x:v>
      </x:c>
      <x:c r="E25" s="253"/>
      <x:c r="F25" s="44"/>
      <x:c r="G25" s="44"/>
      <x:c r="H25" s="44"/>
      <x:c r="I25" s="72"/>
      <x:c r="J25" s="72"/>
      <x:c r="K25" s="72"/>
      <x:c r="L25" s="72"/>
      <x:c r="M25" s="72"/>
      <x:c r="N25" s="72"/>
      <x:c r="O25" s="306" t="s">
        <x:v>212</x:v>
      </x:c>
      <x:c r="P25" s="306" t="s">
        <x:v>360</x:v>
      </x:c>
      <x:c r="Q25" s="740"/>
      <x:c r="R25" s="150"/>
      <x:c r="S25" s="686"/>
      <x:c r="T25" s="71"/>
      <x:c r="U25" s="71"/>
      <x:c r="V25" s="71"/>
      <x:c r="W25" s="678"/>
      <x:c r="X25" s="686"/>
      <x:c r="Y25" s="385"/>
      <x:c r="Z25" s="385"/>
      <x:c r="AA25" s="385"/>
      <x:c r="AB25" s="122"/>
      <x:c r="AC25" s="459" t="s">
        <x:v>393</x:v>
      </x:c>
      <x:c r="AD25" s="71"/>
      <x:c r="AE25" s="71"/>
      <x:c r="AF25" s="71"/>
      <x:c r="AG25" s="146"/>
      <x:c r="AH25" s="71"/>
      <x:c r="AI25" s="71"/>
      <x:c r="AJ25" s="71"/>
      <x:c r="AK25" s="71"/>
      <x:c r="AL25" s="102"/>
      <x:c r="AM25" s="1099"/>
      <x:c r="AN25" s="1100"/>
      <x:c r="AO25" s="1100"/>
      <x:c r="AP25" s="1100"/>
      <x:c r="AQ25" s="1100"/>
      <x:c r="AR25" s="1101"/>
      <x:c r="AS25" s="286"/>
      <x:c r="AT25" s="286" t="s">
        <x:v>145</x:v>
      </x:c>
    </x:row>
    <x:row r="26" spans="1:46" ht="16.75">
      <x:c r="A26" s="1170"/>
      <x:c r="B26" s="295"/>
      <x:c r="C26" s="73"/>
      <x:c r="D26" s="243"/>
      <x:c r="E26" s="218"/>
      <x:c r="F26" s="56"/>
      <x:c r="G26" s="56"/>
      <x:c r="H26" s="56"/>
      <x:c r="I26" s="311"/>
      <x:c r="J26" s="741"/>
      <x:c r="K26" s="311"/>
      <x:c r="L26" s="311"/>
      <x:c r="M26" s="148"/>
      <x:c r="N26" s="311"/>
      <x:c r="O26" s="311"/>
      <x:c r="P26" s="309"/>
      <x:c r="Q26" s="311"/>
      <x:c r="R26" s="152"/>
      <x:c r="S26" s="116"/>
      <x:c r="T26" s="80"/>
      <x:c r="U26" s="80"/>
      <x:c r="V26" s="388"/>
      <x:c r="W26" s="389"/>
      <x:c r="X26" s="387"/>
      <x:c r="Y26" s="388"/>
      <x:c r="Z26" s="80"/>
      <x:c r="AA26" s="80"/>
      <x:c r="AB26" s="117"/>
      <x:c r="AC26" s="460" t="s">
        <x:v>374</x:v>
      </x:c>
      <x:c r="AD26" s="80"/>
      <x:c r="AE26" s="80"/>
      <x:c r="AF26" s="80"/>
      <x:c r="AG26" s="148"/>
      <x:c r="AH26" s="80"/>
      <x:c r="AI26" s="80"/>
      <x:c r="AJ26" s="80"/>
      <x:c r="AK26" s="80"/>
      <x:c r="AL26" s="104"/>
      <x:c r="AM26" s="1035"/>
      <x:c r="AN26" s="1036"/>
      <x:c r="AO26" s="1036"/>
      <x:c r="AP26" s="1036"/>
      <x:c r="AQ26" s="1036"/>
      <x:c r="AR26" s="1037"/>
      <x:c r="AS26" s="286"/>
      <x:c r="AT26" s="286"/>
    </x:row>
    <x:row r="27" spans="1:44" ht="16.75">
      <x:c r="A27" s="237" t="s">
        <x:v>58</x:v>
      </x:c>
      <x:c r="B27" s="234"/>
      <x:c r="C27" s="235"/>
      <x:c r="D27" s="235"/>
      <x:c r="E27" s="235"/>
      <x:c r="F27" s="235"/>
      <x:c r="G27" s="235"/>
      <x:c r="H27" s="235"/>
      <x:c r="I27" s="236"/>
      <x:c r="J27" s="236"/>
      <x:c r="K27" s="236"/>
      <x:c r="L27" s="236"/>
      <x:c r="M27" s="236"/>
      <x:c r="N27" s="236"/>
      <x:c r="O27" s="236"/>
      <x:c r="P27" s="236"/>
      <x:c r="Q27" s="236"/>
      <x:c r="R27" s="236"/>
      <x:c r="S27" s="236"/>
      <x:c r="T27" s="236"/>
      <x:c r="U27" s="236"/>
      <x:c r="V27" s="236"/>
      <x:c r="W27" s="236"/>
      <x:c r="X27" s="236"/>
      <x:c r="Y27" s="236"/>
      <x:c r="Z27" s="236"/>
      <x:c r="AA27" s="236"/>
      <x:c r="AB27" s="236"/>
      <x:c r="AC27" s="236"/>
      <x:c r="AD27" s="236"/>
      <x:c r="AE27" s="236"/>
      <x:c r="AF27" s="236"/>
      <x:c r="AG27" s="236"/>
      <x:c r="AH27" s="236"/>
      <x:c r="AI27" s="236"/>
      <x:c r="AJ27" s="236"/>
      <x:c r="AK27" s="236"/>
      <x:c r="AL27" s="236"/>
      <x:c r="AM27" s="237"/>
      <x:c r="AN27" s="237"/>
      <x:c r="AO27" s="237"/>
      <x:c r="AP27" s="237"/>
      <x:c r="AQ27" s="237"/>
      <x:c r="AR27" s="237"/>
    </x:row>
    <x:row r="28" spans="1:46" ht="16.75" customHeight="1">
      <x:c r="A28" s="1132" t="s">
        <x:v>129</x:v>
      </x:c>
      <x:c r="B28" s="198" t="s">
        <x:v>350</x:v>
      </x:c>
      <x:c r="C28" s="199" t="s">
        <x:v>312</x:v>
      </x:c>
      <x:c r="D28" s="200" t="s">
        <x:v>375</x:v>
      </x:c>
      <x:c r="E28" s="762"/>
      <x:c r="F28" s="762"/>
      <x:c r="G28" s="762"/>
      <x:c r="H28" s="762"/>
      <x:c r="I28" s="763"/>
      <x:c r="J28" s="336"/>
      <x:c r="K28" s="336"/>
      <x:c r="L28" s="336" t="s">
        <x:v>238</x:v>
      </x:c>
      <x:c r="M28" s="764"/>
      <x:c r="N28" s="938" t="s">
        <x:v>61</x:v>
      </x:c>
      <x:c r="O28" s="336"/>
      <x:c r="P28" s="336"/>
      <x:c r="Q28" s="773"/>
      <x:c r="R28" s="750"/>
      <x:c r="S28" s="749"/>
      <x:c r="T28" s="773"/>
      <x:c r="U28" s="773"/>
      <x:c r="V28" s="773"/>
      <x:c r="W28" s="750"/>
      <x:c r="X28" s="749"/>
      <x:c r="Y28" s="889"/>
      <x:c r="Z28" s="773"/>
      <x:c r="AA28" s="773"/>
      <x:c r="AB28" s="600" t="s">
        <x:v>44</x:v>
      </x:c>
      <x:c r="AC28" s="749"/>
      <x:c r="AD28" s="199"/>
      <x:c r="AE28" s="199"/>
      <x:c r="AF28" s="199"/>
      <x:c r="AG28" s="750"/>
      <x:c r="AH28" s="199"/>
      <x:c r="AI28" s="199"/>
      <x:c r="AJ28" s="199"/>
      <x:c r="AK28" s="199"/>
      <x:c r="AL28" s="939"/>
      <x:c r="AM28" s="1135"/>
      <x:c r="AN28" s="1136"/>
      <x:c r="AO28" s="1136"/>
      <x:c r="AP28" s="1136"/>
      <x:c r="AQ28" s="1136"/>
      <x:c r="AR28" s="1137"/>
      <x:c r="AS28" s="286" t="s">
        <x:v>43</x:v>
      </x:c>
      <x:c r="AT28" s="286"/>
    </x:row>
    <x:row r="29" spans="1:46">
      <x:c r="A29" s="1133"/>
      <x:c r="B29" s="201" t="s">
        <x:v>316</x:v>
      </x:c>
      <x:c r="C29" s="71" t="s">
        <x:v>172</x:v>
      </x:c>
      <x:c r="D29" s="175" t="s">
        <x:v>378</x:v>
      </x:c>
      <x:c r="E29" s="48"/>
      <x:c r="F29" s="48"/>
      <x:c r="G29" s="48"/>
      <x:c r="H29" s="48"/>
      <x:c r="I29" s="275" t="s">
        <x:v>174</x:v>
      </x:c>
      <x:c r="J29" s="306"/>
      <x:c r="K29" s="306"/>
      <x:c r="L29" s="306"/>
      <x:c r="M29" s="135"/>
      <x:c r="N29" s="275"/>
      <x:c r="O29" s="306"/>
      <x:c r="P29" s="306" t="s">
        <x:v>320</x:v>
      </x:c>
      <x:c r="Q29" s="306"/>
      <x:c r="R29" s="139"/>
      <x:c r="S29" s="292"/>
      <x:c r="T29" s="302"/>
      <x:c r="U29" s="302"/>
      <x:c r="V29" s="302"/>
      <x:c r="W29" s="139"/>
      <x:c r="X29" s="292"/>
      <x:c r="Y29" s="146"/>
      <x:c r="Z29" s="302"/>
      <x:c r="AA29" s="302"/>
      <x:c r="AB29" s="605" t="s">
        <x:v>44</x:v>
      </x:c>
      <x:c r="AC29" s="292"/>
      <x:c r="AD29" s="71"/>
      <x:c r="AE29" s="71"/>
      <x:c r="AF29" s="71"/>
      <x:c r="AG29" s="139"/>
      <x:c r="AH29" s="71"/>
      <x:c r="AI29" s="71"/>
      <x:c r="AJ29" s="71"/>
      <x:c r="AK29" s="71"/>
      <x:c r="AL29" s="102"/>
      <x:c r="AM29" s="1029"/>
      <x:c r="AN29" s="1030"/>
      <x:c r="AO29" s="1030"/>
      <x:c r="AP29" s="1030"/>
      <x:c r="AQ29" s="1030"/>
      <x:c r="AR29" s="1031"/>
      <x:c r="AS29" s="286" t="s">
        <x:v>43</x:v>
      </x:c>
      <x:c r="AT29" s="286" t="s">
        <x:v>145</x:v>
      </x:c>
    </x:row>
    <x:row r="30" spans="1:46">
      <x:c r="A30" s="1133"/>
      <x:c r="B30" s="564"/>
      <x:c r="C30" s="385"/>
      <x:c r="D30" s="844"/>
      <x:c r="E30" s="735"/>
      <x:c r="F30" s="735"/>
      <x:c r="G30" s="735"/>
      <x:c r="H30" s="735"/>
      <x:c r="I30" s="473"/>
      <x:c r="J30" s="173"/>
      <x:c r="K30" s="173"/>
      <x:c r="L30" s="173"/>
      <x:c r="M30" s="775"/>
      <x:c r="N30" s="473"/>
      <x:c r="O30" s="173"/>
      <x:c r="P30" s="173"/>
      <x:c r="Q30" s="173"/>
      <x:c r="R30" s="678"/>
      <x:c r="S30" s="686"/>
      <x:c r="T30" s="385"/>
      <x:c r="U30" s="385"/>
      <x:c r="V30" s="385"/>
      <x:c r="W30" s="678"/>
      <x:c r="X30" s="686"/>
      <x:c r="Y30" s="385"/>
      <x:c r="Z30" s="385"/>
      <x:c r="AA30" s="385"/>
      <x:c r="AB30" s="678"/>
      <x:c r="AC30" s="292" t="s">
        <x:v>168</x:v>
      </x:c>
      <x:c r="AD30" s="385"/>
      <x:c r="AE30" s="385"/>
      <x:c r="AF30" s="385"/>
      <x:c r="AG30" s="678"/>
      <x:c r="AH30" s="385"/>
      <x:c r="AI30" s="385"/>
      <x:c r="AJ30" s="385"/>
      <x:c r="AK30" s="385"/>
      <x:c r="AL30" s="386"/>
      <x:c r="AM30" s="1153"/>
      <x:c r="AN30" s="1154"/>
      <x:c r="AO30" s="1154"/>
      <x:c r="AP30" s="1154"/>
      <x:c r="AQ30" s="1154"/>
      <x:c r="AR30" s="1155"/>
      <x:c r="AS30" s="286"/>
      <x:c r="AT30" s="286"/>
    </x:row>
    <x:row r="31" spans="1:47">
      <x:c r="A31" s="1133"/>
      <x:c r="B31" s="564"/>
      <x:c r="C31" s="385"/>
      <x:c r="D31" s="844"/>
      <x:c r="E31" s="735"/>
      <x:c r="F31" s="735"/>
      <x:c r="G31" s="735"/>
      <x:c r="H31" s="735"/>
      <x:c r="I31" s="473"/>
      <x:c r="J31" s="173"/>
      <x:c r="K31" s="173"/>
      <x:c r="L31" s="173"/>
      <x:c r="M31" s="775"/>
      <x:c r="N31" s="473"/>
      <x:c r="O31" s="173"/>
      <x:c r="P31" s="173"/>
      <x:c r="Q31" s="173"/>
      <x:c r="R31" s="678"/>
      <x:c r="S31" s="686"/>
      <x:c r="T31" s="385"/>
      <x:c r="U31" s="385"/>
      <x:c r="V31" s="385"/>
      <x:c r="W31" s="678"/>
      <x:c r="X31" s="686"/>
      <x:c r="Y31" s="385"/>
      <x:c r="Z31" s="302" t="s">
        <x:v>356</x:v>
      </x:c>
      <x:c r="AA31" s="385"/>
      <x:c r="AB31" s="678"/>
      <x:c r="AC31" s="292" t="s">
        <x:v>236</x:v>
      </x:c>
      <x:c r="AD31" s="385"/>
      <x:c r="AE31" s="385"/>
      <x:c r="AF31" s="385"/>
      <x:c r="AG31" s="678"/>
      <x:c r="AH31" s="385"/>
      <x:c r="AI31" s="385"/>
      <x:c r="AJ31" s="385"/>
      <x:c r="AK31" s="385"/>
      <x:c r="AL31" s="386"/>
      <x:c r="AM31" s="1153"/>
      <x:c r="AN31" s="1154"/>
      <x:c r="AO31" s="1154"/>
      <x:c r="AP31" s="1154"/>
      <x:c r="AQ31" s="1154"/>
      <x:c r="AR31" s="1155"/>
      <x:c r="AS31" s="768"/>
      <x:c r="AT31" s="768"/>
      <x:c r="AU31" s="719"/>
    </x:row>
    <x:row r="32" spans="1:46" s="18" customFormat="1">
      <x:c r="A32" s="1133"/>
      <x:c r="B32" s="50"/>
      <x:c r="C32" s="50"/>
      <x:c r="D32" s="50"/>
      <x:c r="E32" s="79"/>
      <x:c r="F32" s="79"/>
      <x:c r="G32" s="79"/>
      <x:c r="H32" s="79"/>
      <x:c r="I32" s="277"/>
      <x:c r="J32" s="308"/>
      <x:c r="K32" s="308"/>
      <x:c r="L32" s="308"/>
      <x:c r="M32" s="136"/>
      <x:c r="N32" s="299"/>
      <x:c r="O32" s="308"/>
      <x:c r="P32" s="308"/>
      <x:c r="Q32" s="308"/>
      <x:c r="R32" s="599"/>
      <x:c r="S32" s="382"/>
      <x:c r="T32" s="383"/>
      <x:c r="U32" s="383"/>
      <x:c r="V32" s="383"/>
      <x:c r="W32" s="384"/>
      <x:c r="X32" s="382"/>
      <x:c r="Y32" s="383"/>
      <x:c r="Z32" s="357" t="s">
        <x:v>242</x:v>
      </x:c>
      <x:c r="AA32" s="383"/>
      <x:c r="AB32" s="678"/>
      <x:c r="AC32" s="356" t="s">
        <x:v>183</x:v>
      </x:c>
      <x:c r="AD32" s="383"/>
      <x:c r="AE32" s="383"/>
      <x:c r="AF32" s="383"/>
      <x:c r="AG32" s="384"/>
      <x:c r="AH32" s="383"/>
      <x:c r="AI32" s="383"/>
      <x:c r="AJ32" s="383"/>
      <x:c r="AK32" s="383"/>
      <x:c r="AL32" s="718"/>
      <x:c r="AM32" s="1171"/>
      <x:c r="AN32" s="1172"/>
      <x:c r="AO32" s="1172"/>
      <x:c r="AP32" s="1172"/>
      <x:c r="AQ32" s="1172"/>
      <x:c r="AR32" s="1173"/>
      <x:c r="AS32" s="286"/>
      <x:c r="AT32" s="286"/>
    </x:row>
    <x:row r="33" spans="1:44">
      <x:c r="A33" s="1167"/>
      <x:c r="B33" s="50"/>
      <x:c r="C33" s="50"/>
      <x:c r="D33" s="50"/>
      <x:c r="E33" s="79"/>
      <x:c r="F33" s="79"/>
      <x:c r="G33" s="79"/>
      <x:c r="H33" s="79"/>
      <x:c r="I33" s="277" t="s">
        <x:v>272</x:v>
      </x:c>
      <x:c r="J33" s="308" t="s">
        <x:v>272</x:v>
      </x:c>
      <x:c r="K33" s="308" t="s">
        <x:v>276</x:v>
      </x:c>
      <x:c r="L33" s="308" t="s">
        <x:v>272</x:v>
      </x:c>
      <x:c r="M33" s="129"/>
      <x:c r="N33" s="277" t="s">
        <x:v>272</x:v>
      </x:c>
      <x:c r="O33" s="308" t="s">
        <x:v>50</x:v>
      </x:c>
      <x:c r="P33" s="308"/>
      <x:c r="Q33" s="308" t="s">
        <x:v>392</x:v>
      </x:c>
      <x:c r="R33" s="140"/>
      <x:c r="S33" s="114"/>
      <x:c r="T33" s="77"/>
      <x:c r="U33" s="77"/>
      <x:c r="V33" s="357" t="s">
        <x:v>402</x:v>
      </x:c>
      <x:c r="W33" s="140"/>
      <x:c r="X33" s="114"/>
      <x:c r="Y33" s="147"/>
      <x:c r="Z33" s="77"/>
      <x:c r="AA33" s="77"/>
      <x:c r="AB33" s="115"/>
      <x:c r="AC33" s="114"/>
      <x:c r="AD33" s="77"/>
      <x:c r="AE33" s="77"/>
      <x:c r="AF33" s="77"/>
      <x:c r="AG33" s="140"/>
      <x:c r="AH33" s="77"/>
      <x:c r="AI33" s="77"/>
      <x:c r="AJ33" s="77"/>
      <x:c r="AK33" s="77"/>
      <x:c r="AL33" s="103"/>
      <x:c r="AM33" s="1057"/>
      <x:c r="AN33" s="1058"/>
      <x:c r="AO33" s="1058"/>
      <x:c r="AP33" s="1058"/>
      <x:c r="AQ33" s="1058"/>
      <x:c r="AR33" s="1059"/>
    </x:row>
    <x:row r="34" spans="1:46" ht="17.149999999999999">
      <x:c r="A34" s="359" t="s">
        <x:v>311</x:v>
      </x:c>
      <x:c r="B34" s="360" t="s">
        <x:v>348</x:v>
      </x:c>
      <x:c r="C34" s="353" t="s">
        <x:v>209</x:v>
      </x:c>
      <x:c r="D34" s="345" t="s">
        <x:v>375</x:v>
      </x:c>
      <x:c r="E34" s="346"/>
      <x:c r="F34" s="346"/>
      <x:c r="G34" s="346"/>
      <x:c r="H34" s="346"/>
      <x:c r="I34" s="347"/>
      <x:c r="J34" s="348"/>
      <x:c r="K34" s="348"/>
      <x:c r="L34" s="349" t="s">
        <x:v>168</x:v>
      </x:c>
      <x:c r="M34" s="351"/>
      <x:c r="N34" s="349" t="s">
        <x:v>168</x:v>
      </x:c>
      <x:c r="O34" s="349" t="s">
        <x:v>236</x:v>
      </x:c>
      <x:c r="P34" s="348"/>
      <x:c r="Q34" s="348"/>
      <x:c r="R34" s="350"/>
      <x:c r="S34" s="446"/>
      <x:c r="T34" s="349"/>
      <x:c r="U34" s="349"/>
      <x:c r="V34" s="349"/>
      <x:c r="W34" s="350"/>
      <x:c r="X34" s="843"/>
      <x:c r="Y34" s="355"/>
      <x:c r="Z34" s="348"/>
      <x:c r="AA34" s="349"/>
      <x:c r="AB34" s="893"/>
      <x:c r="AC34" s="347"/>
      <x:c r="AD34" s="348"/>
      <x:c r="AE34" s="348"/>
      <x:c r="AF34" s="348"/>
      <x:c r="AG34" s="350"/>
      <x:c r="AH34" s="348"/>
      <x:c r="AI34" s="348"/>
      <x:c r="AJ34" s="348"/>
      <x:c r="AK34" s="348"/>
      <x:c r="AL34" s="604"/>
      <x:c r="AM34" s="1138"/>
      <x:c r="AN34" s="1139"/>
      <x:c r="AO34" s="1139"/>
      <x:c r="AP34" s="1139"/>
      <x:c r="AQ34" s="1139"/>
      <x:c r="AR34" s="1140"/>
      <x:c r="AS34" s="286" t="s">
        <x:v>43</x:v>
      </x:c>
      <x:c r="AT34" s="286" t="s">
        <x:v>145</x:v>
      </x:c>
    </x:row>
    <x:row r="35" spans="1:44">
      <x:c r="A35" s="54"/>
      <x:c r="B35" s="94"/>
      <x:c r="C35" s="74"/>
      <x:c r="D35" s="74"/>
      <x:c r="E35" s="74"/>
      <x:c r="F35" s="74"/>
      <x:c r="G35" s="74"/>
      <x:c r="H35" s="74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  <x:c r="V35" s="105"/>
      <x:c r="W35" s="105"/>
      <x:c r="X35" s="105"/>
      <x:c r="Y35" s="105"/>
      <x:c r="Z35" s="105"/>
      <x:c r="AA35" s="105"/>
      <x:c r="AB35" s="105"/>
      <x:c r="AC35" s="105"/>
      <x:c r="AD35" s="105"/>
      <x:c r="AE35" s="105"/>
      <x:c r="AF35" s="105"/>
      <x:c r="AG35" s="105"/>
      <x:c r="AH35" s="105"/>
      <x:c r="AI35" s="105"/>
      <x:c r="AJ35" s="105"/>
      <x:c r="AK35" s="105"/>
      <x:c r="AL35" s="105"/>
      <x:c r="AM35" s="54"/>
      <x:c r="AN35" s="54"/>
      <x:c r="AO35" s="54"/>
      <x:c r="AP35" s="54"/>
      <x:c r="AQ35" s="54"/>
      <x:c r="AR35" s="54"/>
    </x:row>
    <x:row r="36" spans="1:46">
      <x:c r="A36" s="1121" t="s">
        <x:v>39</x:v>
      </x:c>
      <x:c r="B36" s="72" t="s">
        <x:v>210</x:v>
      </x:c>
      <x:c r="C36" s="71" t="s">
        <x:v>246</x:v>
      </x:c>
      <x:c r="D36" s="166" t="s">
        <x:v>378</x:v>
      </x:c>
      <x:c r="E36" s="48"/>
      <x:c r="F36" s="48"/>
      <x:c r="G36" s="48"/>
      <x:c r="H36" s="48"/>
      <x:c r="I36" s="275" t="s">
        <x:v>272</x:v>
      </x:c>
      <x:c r="J36" s="72"/>
      <x:c r="K36" s="72"/>
      <x:c r="L36" s="72"/>
      <x:c r="M36" s="126"/>
      <x:c r="N36" s="90" t="s">
        <x:v>231</x:v>
      </x:c>
      <x:c r="O36" s="306" t="s">
        <x:v>323</x:v>
      </x:c>
      <x:c r="P36" s="306"/>
      <x:c r="Q36" s="306"/>
      <x:c r="R36" s="139"/>
      <x:c r="S36" s="292"/>
      <x:c r="T36" s="302"/>
      <x:c r="U36" s="302"/>
      <x:c r="V36" s="146" t="s">
        <x:v>151</x:v>
      </x:c>
      <x:c r="W36" s="139"/>
      <x:c r="X36" s="292"/>
      <x:c r="Y36" s="146"/>
      <x:c r="Z36" s="302"/>
      <x:c r="AA36" s="302"/>
      <x:c r="AB36" s="605" t="s">
        <x:v>44</x:v>
      </x:c>
      <x:c r="AC36" s="120"/>
      <x:c r="AD36" s="71"/>
      <x:c r="AE36" s="71"/>
      <x:c r="AF36" s="71"/>
      <x:c r="AG36" s="139"/>
      <x:c r="AH36" s="71"/>
      <x:c r="AI36" s="71"/>
      <x:c r="AJ36" s="71"/>
      <x:c r="AK36" s="71"/>
      <x:c r="AL36" s="102"/>
      <x:c r="AM36" s="1032"/>
      <x:c r="AN36" s="1033"/>
      <x:c r="AO36" s="1033"/>
      <x:c r="AP36" s="1033"/>
      <x:c r="AQ36" s="1033"/>
      <x:c r="AR36" s="1034"/>
      <x:c r="AS36" s="286" t="s">
        <x:v>43</x:v>
      </x:c>
      <x:c r="AT36" s="286"/>
    </x:row>
    <x:row r="37" spans="1:46">
      <x:c r="A37" s="1116"/>
      <x:c r="B37" s="72"/>
      <x:c r="C37" s="53"/>
      <x:c r="D37" s="66"/>
      <x:c r="E37" s="48"/>
      <x:c r="F37" s="48"/>
      <x:c r="G37" s="48"/>
      <x:c r="H37" s="48"/>
      <x:c r="I37" s="90"/>
      <x:c r="J37" s="72"/>
      <x:c r="K37" s="72"/>
      <x:c r="L37" s="72"/>
      <x:c r="M37" s="126"/>
      <x:c r="N37" s="90"/>
      <x:c r="O37" s="302" t="s">
        <x:v>271</x:v>
      </x:c>
      <x:c r="P37" s="72"/>
      <x:c r="Q37" s="72"/>
      <x:c r="R37" s="139"/>
      <x:c r="S37" s="120"/>
      <x:c r="T37" s="71"/>
      <x:c r="U37" s="71"/>
      <x:c r="V37" s="71"/>
      <x:c r="W37" s="139"/>
      <x:c r="X37" s="476"/>
      <x:c r="Y37" s="146"/>
      <x:c r="Z37" s="476"/>
      <x:c r="AA37" s="71"/>
      <x:c r="AB37" s="122"/>
      <x:c r="AC37" s="120"/>
      <x:c r="AD37" s="71"/>
      <x:c r="AE37" s="71"/>
      <x:c r="AF37" s="71"/>
      <x:c r="AG37" s="139"/>
      <x:c r="AH37" s="71"/>
      <x:c r="AI37" s="71"/>
      <x:c r="AJ37" s="71"/>
      <x:c r="AK37" s="71"/>
      <x:c r="AL37" s="102"/>
      <x:c r="AM37" s="1029"/>
      <x:c r="AN37" s="1030"/>
      <x:c r="AO37" s="1030"/>
      <x:c r="AP37" s="1030"/>
      <x:c r="AQ37" s="1030"/>
      <x:c r="AR37" s="1031"/>
      <x:c r="AT37" s="9"/>
    </x:row>
    <x:row r="38" spans="1:46">
      <x:c r="A38" s="1116"/>
      <x:c r="B38" s="72"/>
      <x:c r="C38" s="71"/>
      <x:c r="D38" s="166"/>
      <x:c r="E38" s="48"/>
      <x:c r="F38" s="48"/>
      <x:c r="G38" s="48"/>
      <x:c r="H38" s="48"/>
      <x:c r="I38" s="275"/>
      <x:c r="J38" s="85"/>
      <x:c r="K38" s="85"/>
      <x:c r="L38" s="85"/>
      <x:c r="M38" s="126"/>
      <x:c r="N38" s="90"/>
      <x:c r="O38" s="306"/>
      <x:c r="P38" s="306"/>
      <x:c r="Q38" s="306"/>
      <x:c r="R38" s="139"/>
      <x:c r="S38" s="292"/>
      <x:c r="T38" s="302"/>
      <x:c r="U38" s="302"/>
      <x:c r="V38" s="71"/>
      <x:c r="W38" s="139"/>
      <x:c r="X38" s="120"/>
      <x:c r="Y38" s="146"/>
      <x:c r="Z38" s="71"/>
      <x:c r="AA38" s="71"/>
      <x:c r="AB38" s="122"/>
      <x:c r="AC38" s="120"/>
      <x:c r="AD38" s="71"/>
      <x:c r="AE38" s="71"/>
      <x:c r="AF38" s="71"/>
      <x:c r="AG38" s="139"/>
      <x:c r="AH38" s="71"/>
      <x:c r="AI38" s="71"/>
      <x:c r="AJ38" s="71"/>
      <x:c r="AK38" s="71"/>
      <x:c r="AL38" s="102"/>
      <x:c r="AM38" s="1032"/>
      <x:c r="AN38" s="1033"/>
      <x:c r="AO38" s="1033"/>
      <x:c r="AP38" s="1033"/>
      <x:c r="AQ38" s="1033"/>
      <x:c r="AR38" s="1034"/>
      <x:c r="AS38" s="286"/>
      <x:c r="AT38" s="286"/>
    </x:row>
    <x:row r="39" spans="1:44">
      <x:c r="A39" s="1116"/>
      <x:c r="B39" s="84"/>
      <x:c r="C39" s="65"/>
      <x:c r="D39" s="66"/>
      <x:c r="E39" s="48"/>
      <x:c r="F39" s="48"/>
      <x:c r="G39" s="48"/>
      <x:c r="H39" s="48"/>
      <x:c r="I39" s="125"/>
      <x:c r="J39" s="85"/>
      <x:c r="K39" s="85"/>
      <x:c r="L39" s="85"/>
      <x:c r="M39" s="126"/>
      <x:c r="N39" s="90"/>
      <x:c r="O39" s="302"/>
      <x:c r="P39" s="72"/>
      <x:c r="Q39" s="72"/>
      <x:c r="R39" s="139"/>
      <x:c r="S39" s="120"/>
      <x:c r="T39" s="71"/>
      <x:c r="U39" s="71"/>
      <x:c r="V39" s="71"/>
      <x:c r="W39" s="139"/>
      <x:c r="X39" s="476"/>
      <x:c r="Y39" s="146"/>
      <x:c r="Z39" s="71"/>
      <x:c r="AA39" s="71"/>
      <x:c r="AB39" s="122"/>
      <x:c r="AC39" s="120"/>
      <x:c r="AD39" s="71"/>
      <x:c r="AE39" s="71"/>
      <x:c r="AF39" s="71"/>
      <x:c r="AG39" s="139"/>
      <x:c r="AH39" s="71"/>
      <x:c r="AI39" s="71"/>
      <x:c r="AJ39" s="71"/>
      <x:c r="AK39" s="71"/>
      <x:c r="AL39" s="102"/>
      <x:c r="AM39" s="1029"/>
      <x:c r="AN39" s="1030"/>
      <x:c r="AO39" s="1030"/>
      <x:c r="AP39" s="1030"/>
      <x:c r="AQ39" s="1030"/>
      <x:c r="AR39" s="1031"/>
    </x:row>
    <x:row r="40" spans="1:44">
      <x:c r="A40" s="1116"/>
      <x:c r="B40" s="53"/>
      <x:c r="C40" s="53"/>
      <x:c r="D40" s="67"/>
      <x:c r="E40" s="48"/>
      <x:c r="F40" s="48"/>
      <x:c r="G40" s="48"/>
      <x:c r="H40" s="48"/>
      <x:c r="I40" s="128"/>
      <x:c r="J40" s="86"/>
      <x:c r="K40" s="86"/>
      <x:c r="L40" s="86"/>
      <x:c r="M40" s="129"/>
      <x:c r="N40" s="91"/>
      <x:c r="O40" s="61"/>
      <x:c r="P40" s="308" t="s">
        <x:v>316</x:v>
      </x:c>
      <x:c r="Q40" s="111"/>
      <x:c r="R40" s="140"/>
      <x:c r="S40" s="114"/>
      <x:c r="T40" s="77"/>
      <x:c r="U40" s="77"/>
      <x:c r="V40" s="77"/>
      <x:c r="W40" s="140"/>
      <x:c r="X40" s="114"/>
      <x:c r="Y40" s="147"/>
      <x:c r="Z40" s="77"/>
      <x:c r="AA40" s="77"/>
      <x:c r="AB40" s="115"/>
      <x:c r="AC40" s="114"/>
      <x:c r="AD40" s="77"/>
      <x:c r="AE40" s="77"/>
      <x:c r="AF40" s="77"/>
      <x:c r="AG40" s="140"/>
      <x:c r="AH40" s="71"/>
      <x:c r="AI40" s="71"/>
      <x:c r="AJ40" s="71"/>
      <x:c r="AK40" s="71"/>
      <x:c r="AL40" s="102"/>
      <x:c r="AM40" s="1029"/>
      <x:c r="AN40" s="1030"/>
      <x:c r="AO40" s="1030"/>
      <x:c r="AP40" s="1030"/>
      <x:c r="AQ40" s="1030"/>
      <x:c r="AR40" s="1031"/>
    </x:row>
    <x:row r="41" spans="1:44" ht="16.75">
      <x:c r="A41" s="1117"/>
      <x:c r="B41" s="89"/>
      <x:c r="C41" s="68"/>
      <x:c r="D41" s="68"/>
      <x:c r="E41" s="56"/>
      <x:c r="F41" s="56"/>
      <x:c r="G41" s="56"/>
      <x:c r="H41" s="56"/>
      <x:c r="I41" s="116"/>
      <x:c r="J41" s="80"/>
      <x:c r="K41" s="80"/>
      <x:c r="L41" s="311" t="s">
        <x:v>267</x:v>
      </x:c>
      <x:c r="M41" s="117"/>
      <x:c r="N41" s="80"/>
      <x:c r="O41" s="80"/>
      <x:c r="P41" s="80"/>
      <x:c r="Q41" s="80"/>
      <x:c r="R41" s="137"/>
      <x:c r="S41" s="116"/>
      <x:c r="T41" s="80"/>
      <x:c r="U41" s="80"/>
      <x:c r="V41" s="80"/>
      <x:c r="W41" s="137"/>
      <x:c r="X41" s="116"/>
      <x:c r="Y41" s="148"/>
      <x:c r="Z41" s="80"/>
      <x:c r="AA41" s="80"/>
      <x:c r="AB41" s="117"/>
      <x:c r="AC41" s="116"/>
      <x:c r="AD41" s="80"/>
      <x:c r="AE41" s="80"/>
      <x:c r="AF41" s="80"/>
      <x:c r="AG41" s="137"/>
      <x:c r="AH41" s="80"/>
      <x:c r="AI41" s="80"/>
      <x:c r="AJ41" s="80"/>
      <x:c r="AK41" s="80"/>
      <x:c r="AL41" s="104"/>
      <x:c r="AM41" s="1035"/>
      <x:c r="AN41" s="1036"/>
      <x:c r="AO41" s="1036"/>
      <x:c r="AP41" s="1036"/>
      <x:c r="AQ41" s="1036"/>
      <x:c r="AR41" s="1037"/>
    </x:row>
    <x:row r="42" spans="1:44">
      <x:c r="A42" s="54" t="s">
        <x:v>270</x:v>
      </x:c>
      <x:c r="B42" s="94"/>
      <x:c r="C42" s="74"/>
      <x:c r="D42" s="74"/>
      <x:c r="E42" s="74"/>
      <x:c r="F42" s="74"/>
      <x:c r="G42" s="74"/>
      <x:c r="H42" s="74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 s="105"/>
      <x:c r="AB42" s="105"/>
      <x:c r="AC42" s="105"/>
      <x:c r="AD42" s="105"/>
      <x:c r="AE42" s="105"/>
      <x:c r="AF42" s="105"/>
      <x:c r="AG42" s="105"/>
      <x:c r="AH42" s="105"/>
      <x:c r="AI42" s="105"/>
      <x:c r="AJ42" s="105"/>
      <x:c r="AK42" s="105"/>
      <x:c r="AL42" s="105"/>
      <x:c r="AM42" s="54"/>
      <x:c r="AN42" s="54"/>
      <x:c r="AO42" s="54"/>
      <x:c r="AP42" s="54"/>
      <x:c r="AQ42" s="54"/>
      <x:c r="AR42" s="54"/>
    </x:row>
    <x:row r="43" spans="1:46" ht="16.75">
      <x:c r="A43" s="1115">
        <x:v>0.29166666666666669</x:v>
      </x:c>
      <x:c r="B43" s="55" t="s">
        <x:v>250</x:v>
      </x:c>
      <x:c r="C43" s="57" t="s">
        <x:v>367</x:v>
      </x:c>
      <x:c r="D43" s="241" t="s">
        <x:v>375</x:v>
      </x:c>
      <x:c r="E43" s="238"/>
      <x:c r="F43" s="45"/>
      <x:c r="G43" s="45"/>
      <x:c r="H43" s="45"/>
      <x:c r="I43" s="274"/>
      <x:c r="J43" s="313"/>
      <x:c r="K43" s="307"/>
      <x:c r="L43" s="307"/>
      <x:c r="M43" s="134"/>
      <x:c r="N43" s="444"/>
      <x:c r="O43" s="313" t="s">
        <x:v>119</x:v>
      </x:c>
      <x:c r="P43" s="307"/>
      <x:c r="Q43" s="593"/>
      <x:c r="R43" s="138"/>
      <x:c r="S43" s="665"/>
      <x:c r="T43" s="593"/>
      <x:c r="U43" s="593"/>
      <x:c r="V43" s="593"/>
      <x:c r="W43" s="138"/>
      <x:c r="X43" s="665"/>
      <x:c r="Y43" s="145"/>
      <x:c r="Z43" s="593"/>
      <x:c r="AA43" s="593"/>
      <x:c r="AB43" s="606" t="s">
        <x:v>44</x:v>
      </x:c>
      <x:c r="AC43" s="665"/>
      <x:c r="AD43" s="57"/>
      <x:c r="AE43" s="57"/>
      <x:c r="AF43" s="57"/>
      <x:c r="AG43" s="138"/>
      <x:c r="AH43" s="57"/>
      <x:c r="AI43" s="57"/>
      <x:c r="AJ43" s="57"/>
      <x:c r="AK43" s="57"/>
      <x:c r="AL43" s="101"/>
      <x:c r="AM43" s="1026"/>
      <x:c r="AN43" s="1027"/>
      <x:c r="AO43" s="1027"/>
      <x:c r="AP43" s="1027"/>
      <x:c r="AQ43" s="1027"/>
      <x:c r="AR43" s="1028"/>
      <x:c r="AS43" s="286" t="s">
        <x:v>43</x:v>
      </x:c>
      <x:c r="AT43" s="286" t="s">
        <x:v>145</x:v>
      </x:c>
    </x:row>
    <x:row r="44" spans="1:46">
      <x:c r="A44" s="1116"/>
      <x:c r="B44" s="72" t="s">
        <x:v>179</x:v>
      </x:c>
      <x:c r="C44" s="71" t="s">
        <x:v>275</x:v>
      </x:c>
      <x:c r="D44" s="166" t="s">
        <x:v>375</x:v>
      </x:c>
      <x:c r="E44" s="239"/>
      <x:c r="F44" s="48"/>
      <x:c r="G44" s="48"/>
      <x:c r="H44" s="48"/>
      <x:c r="I44" s="288"/>
      <x:c r="J44" s="154"/>
      <x:c r="K44" s="154"/>
      <x:c r="L44" s="155"/>
      <x:c r="M44" s="135" t="s">
        <x:v>315</x:v>
      </x:c>
      <x:c r="N44" s="275"/>
      <x:c r="O44" s="306" t="s">
        <x:v>92</x:v>
      </x:c>
      <x:c r="P44" s="306"/>
      <x:c r="Q44" s="306"/>
      <x:c r="R44" s="139"/>
      <x:c r="S44" s="292"/>
      <x:c r="T44" s="302"/>
      <x:c r="U44" s="302"/>
      <x:c r="V44" s="302"/>
      <x:c r="W44" s="139"/>
      <x:c r="X44" s="292"/>
      <x:c r="Y44" s="146"/>
      <x:c r="Z44" s="302" t="s">
        <x:v>279</x:v>
      </x:c>
      <x:c r="AA44" s="302"/>
      <x:c r="AB44" s="605" t="s">
        <x:v>44</x:v>
      </x:c>
      <x:c r="AC44" s="120"/>
      <x:c r="AD44" s="71"/>
      <x:c r="AE44" s="71"/>
      <x:c r="AF44" s="71"/>
      <x:c r="AG44" s="139"/>
      <x:c r="AH44" s="71"/>
      <x:c r="AI44" s="71"/>
      <x:c r="AJ44" s="71"/>
      <x:c r="AK44" s="71"/>
      <x:c r="AL44" s="102"/>
      <x:c r="AM44" s="1029" t="s">
        <x:v>436</x:v>
      </x:c>
      <x:c r="AN44" s="1030"/>
      <x:c r="AO44" s="1030"/>
      <x:c r="AP44" s="1030"/>
      <x:c r="AQ44" s="1030"/>
      <x:c r="AR44" s="1031"/>
      <x:c r="AS44" s="286" t="s">
        <x:v>43</x:v>
      </x:c>
      <x:c r="AT44" s="286"/>
    </x:row>
    <x:row r="45" spans="1:46">
      <x:c r="A45" s="1116"/>
      <x:c r="B45" s="72" t="s">
        <x:v>374</x:v>
      </x:c>
      <x:c r="C45" s="71" t="s">
        <x:v>218</x:v>
      </x:c>
      <x:c r="D45" s="166" t="s">
        <x:v>375</x:v>
      </x:c>
      <x:c r="E45" s="130"/>
      <x:c r="F45" s="79"/>
      <x:c r="G45" s="79"/>
      <x:c r="H45" s="79"/>
      <x:c r="I45" s="90"/>
      <x:c r="J45" s="72"/>
      <x:c r="K45" s="72"/>
      <x:c r="L45" s="72"/>
      <x:c r="M45" s="126"/>
      <x:c r="N45" s="275" t="s">
        <x:v>323</x:v>
      </x:c>
      <x:c r="O45" s="306" t="s">
        <x:v>138</x:v>
      </x:c>
      <x:c r="P45" s="306"/>
      <x:c r="Q45" s="306"/>
      <x:c r="R45" s="139"/>
      <x:c r="S45" s="292"/>
      <x:c r="T45" s="302"/>
      <x:c r="U45" s="302"/>
      <x:c r="V45" s="302"/>
      <x:c r="W45" s="139"/>
      <x:c r="X45" s="292"/>
      <x:c r="Y45" s="146"/>
      <x:c r="Z45" s="302"/>
      <x:c r="AA45" s="302"/>
      <x:c r="AB45" s="605" t="s">
        <x:v>45</x:v>
      </x:c>
      <x:c r="AC45" s="292" t="s">
        <x:v>425</x:v>
      </x:c>
      <x:c r="AD45" s="71"/>
      <x:c r="AE45" s="71"/>
      <x:c r="AF45" s="71"/>
      <x:c r="AG45" s="139"/>
      <x:c r="AH45" s="71"/>
      <x:c r="AI45" s="71"/>
      <x:c r="AJ45" s="71"/>
      <x:c r="AK45" s="71"/>
      <x:c r="AL45" s="102"/>
      <x:c r="AM45" s="1029"/>
      <x:c r="AN45" s="1030"/>
      <x:c r="AO45" s="1030"/>
      <x:c r="AP45" s="1030"/>
      <x:c r="AQ45" s="1030"/>
      <x:c r="AR45" s="1031"/>
      <x:c r="AS45" s="286" t="s">
        <x:v>43</x:v>
      </x:c>
      <x:c r="AT45" s="286"/>
    </x:row>
    <x:row r="46" spans="1:46">
      <x:c r="A46" s="1116"/>
      <x:c r="B46" s="72" t="s">
        <x:v>169</x:v>
      </x:c>
      <x:c r="C46" s="71" t="s">
        <x:v>367</x:v>
      </x:c>
      <x:c r="D46" s="166" t="s">
        <x:v>375</x:v>
      </x:c>
      <x:c r="E46" s="130"/>
      <x:c r="F46" s="79"/>
      <x:c r="G46" s="79"/>
      <x:c r="H46" s="79"/>
      <x:c r="I46" s="91"/>
      <x:c r="J46" s="61"/>
      <x:c r="K46" s="61"/>
      <x:c r="L46" s="308" t="s">
        <x:v>179</x:v>
      </x:c>
      <x:c r="M46" s="129"/>
      <x:c r="N46" s="275" t="s">
        <x:v>402</x:v>
      </x:c>
      <x:c r="O46" s="72"/>
      <x:c r="P46" s="61"/>
      <x:c r="Q46" s="154" t="s">
        <x:v>402</x:v>
      </x:c>
      <x:c r="R46" s="140"/>
      <x:c r="S46" s="356"/>
      <x:c r="T46" s="77" t="s">
        <x:v>56</x:v>
      </x:c>
      <x:c r="U46" s="357"/>
      <x:c r="V46" s="357"/>
      <x:c r="W46" s="140"/>
      <x:c r="X46" s="292"/>
      <x:c r="Y46" s="147"/>
      <x:c r="Z46" s="357"/>
      <x:c r="AA46" s="357"/>
      <x:c r="AB46" s="605" t="s">
        <x:v>44</x:v>
      </x:c>
      <x:c r="AC46" s="356"/>
      <x:c r="AD46" s="77"/>
      <x:c r="AE46" s="77"/>
      <x:c r="AF46" s="77"/>
      <x:c r="AG46" s="140"/>
      <x:c r="AH46" s="77"/>
      <x:c r="AI46" s="77"/>
      <x:c r="AJ46" s="77"/>
      <x:c r="AK46" s="77"/>
      <x:c r="AL46" s="103"/>
      <x:c r="AM46" s="1032"/>
      <x:c r="AN46" s="1033"/>
      <x:c r="AO46" s="1033"/>
      <x:c r="AP46" s="1033"/>
      <x:c r="AQ46" s="1033"/>
      <x:c r="AR46" s="1034"/>
      <x:c r="AS46" s="286" t="s">
        <x:v>43</x:v>
      </x:c>
      <x:c r="AT46" s="286" t="s">
        <x:v>145</x:v>
      </x:c>
    </x:row>
    <x:row r="47" spans="1:46" ht="16.75">
      <x:c r="A47" s="1116"/>
      <x:c r="B47" s="72"/>
      <x:c r="C47" s="71"/>
      <x:c r="D47" s="166"/>
      <x:c r="E47" s="240"/>
      <x:c r="F47" s="49"/>
      <x:c r="G47" s="49"/>
      <x:c r="H47" s="49"/>
      <x:c r="I47" s="116"/>
      <x:c r="J47" s="80"/>
      <x:c r="K47" s="80"/>
      <x:c r="L47" s="80"/>
      <x:c r="M47" s="117"/>
      <x:c r="N47" s="120"/>
      <x:c r="O47" s="71"/>
      <x:c r="P47" s="71"/>
      <x:c r="Q47" s="71"/>
      <x:c r="R47" s="139"/>
      <x:c r="S47" s="120"/>
      <x:c r="T47" s="71"/>
      <x:c r="U47" s="385"/>
      <x:c r="V47" s="146"/>
      <x:c r="W47" s="139"/>
      <x:c r="X47" s="860" t="s">
        <x:v>360</x:v>
      </x:c>
      <x:c r="Y47" s="146"/>
      <x:c r="Z47" s="71"/>
      <x:c r="AA47" s="302" t="s">
        <x:v>188</x:v>
      </x:c>
      <x:c r="AB47" s="605" t="s">
        <x:v>173</x:v>
      </x:c>
      <x:c r="AC47" s="292" t="s">
        <x:v>192</x:v>
      </x:c>
      <x:c r="AD47" s="71"/>
      <x:c r="AE47" s="71"/>
      <x:c r="AF47" s="71"/>
      <x:c r="AG47" s="139"/>
      <x:c r="AH47" s="80"/>
      <x:c r="AI47" s="80"/>
      <x:c r="AJ47" s="80"/>
      <x:c r="AK47" s="80"/>
      <x:c r="AL47" s="104"/>
      <x:c r="AM47" s="1029"/>
      <x:c r="AN47" s="1030"/>
      <x:c r="AO47" s="1030"/>
      <x:c r="AP47" s="1030"/>
      <x:c r="AQ47" s="1030"/>
      <x:c r="AR47" s="1031"/>
      <x:c r="AS47" s="286"/>
      <x:c r="AT47" s="286"/>
    </x:row>
    <x:row r="48" spans="1:46" ht="16.75">
      <x:c r="A48" s="1117"/>
      <x:c r="B48" s="88"/>
      <x:c r="C48" s="80"/>
      <x:c r="D48" s="226"/>
      <x:c r="E48" s="240"/>
      <x:c r="F48" s="49"/>
      <x:c r="G48" s="49"/>
      <x:c r="H48" s="49"/>
      <x:c r="I48" s="116"/>
      <x:c r="J48" s="80"/>
      <x:c r="K48" s="80"/>
      <x:c r="L48" s="80"/>
      <x:c r="M48" s="117"/>
      <x:c r="N48" s="116"/>
      <x:c r="O48" s="80"/>
      <x:c r="P48" s="80"/>
      <x:c r="Q48" s="80"/>
      <x:c r="R48" s="137"/>
      <x:c r="S48" s="116"/>
      <x:c r="T48" s="80"/>
      <x:c r="U48" s="80"/>
      <x:c r="V48" s="148"/>
      <x:c r="W48" s="137"/>
      <x:c r="X48" s="116"/>
      <x:c r="Y48" s="148"/>
      <x:c r="Z48" s="80"/>
      <x:c r="AA48" s="80"/>
      <x:c r="AB48" s="605" t="s">
        <x:v>280</x:v>
      </x:c>
      <x:c r="AC48" s="116"/>
      <x:c r="AD48" s="80"/>
      <x:c r="AE48" s="80"/>
      <x:c r="AF48" s="80"/>
      <x:c r="AG48" s="137"/>
      <x:c r="AH48" s="80"/>
      <x:c r="AI48" s="80"/>
      <x:c r="AJ48" s="80"/>
      <x:c r="AK48" s="80"/>
      <x:c r="AL48" s="104"/>
      <x:c r="AM48" s="1035"/>
      <x:c r="AN48" s="1036"/>
      <x:c r="AO48" s="1036"/>
      <x:c r="AP48" s="1036"/>
      <x:c r="AQ48" s="1036"/>
      <x:c r="AR48" s="1037"/>
      <x:c r="AS48" s="286"/>
      <x:c r="AT48" s="286"/>
    </x:row>
    <x:row r="49" spans="1:44">
      <x:c r="A49" s="54"/>
      <x:c r="B49" s="83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71"/>
      <x:c r="P49" s="54"/>
      <x:c r="Q49" s="54"/>
      <x:c r="R49" s="54"/>
      <x:c r="S49" s="54"/>
      <x:c r="T49" s="54"/>
      <x:c r="U49" s="74"/>
      <x:c r="V49" s="54"/>
      <x:c r="W49" s="54"/>
      <x:c r="X49" s="54"/>
      <x:c r="Y49" s="54"/>
      <x:c r="Z49" s="54"/>
      <x:c r="AA49" s="54"/>
      <x:c r="AB49" s="964" t="s">
        <x:v>393</x:v>
      </x:c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</x:row>
    <x:row r="50" spans="1:44">
      <x:c r="A50" s="1021" t="s">
        <x:v>189</x:v>
      </x:c>
      <x:c r="B50" s="1021">
        <x:f>COUNTA(B6:$B$48)</x:f>
        <x:v>14</x:v>
      </x:c>
      <x:c r="C50" s="43"/>
      <x:c r="D50" s="1021"/>
      <x:c r="E50" s="1021">
        <x:f>COUNTIF(E4:E48,"=y")</x:f>
        <x:v>0</x:v>
      </x:c>
      <x:c r="F50" s="1021">
        <x:f>COUNTIF(F4:F48,"=y")</x:f>
        <x:v>0</x:v>
      </x:c>
      <x:c r="G50" s="1021">
        <x:f>COUNTIF(G4:G48,"=y")</x:f>
        <x:v>0</x:v>
      </x:c>
      <x:c r="H50" s="1021">
        <x:f>COUNTIF(H4:H48,"=y")</x:f>
        <x:v>0</x:v>
      </x:c>
      <x:c r="I50" s="1020"/>
      <x:c r="J50" s="1020"/>
      <x:c r="K50" s="1020"/>
      <x:c r="L50" s="1020"/>
      <x:c r="M50" s="1020"/>
      <x:c r="N50" s="1020"/>
      <x:c r="O50" s="1020"/>
      <x:c r="P50" s="1020"/>
      <x:c r="Q50" s="1020"/>
      <x:c r="R50" s="1020"/>
      <x:c r="S50" s="1020"/>
      <x:c r="T50" s="1020"/>
      <x:c r="U50" s="1020"/>
      <x:c r="V50" s="1020"/>
      <x:c r="W50" s="1020"/>
      <x:c r="X50" s="1020"/>
      <x:c r="Y50" s="1020"/>
      <x:c r="Z50" s="1020"/>
      <x:c r="AA50" s="1020"/>
      <x:c r="AB50" s="1020"/>
      <x:c r="AC50" s="1020"/>
      <x:c r="AD50" s="1020"/>
      <x:c r="AE50" s="1020"/>
      <x:c r="AF50" s="1020"/>
      <x:c r="AG50" s="1020"/>
      <x:c r="AH50" s="1020"/>
      <x:c r="AI50" s="1020"/>
      <x:c r="AJ50" s="1020"/>
      <x:c r="AK50" s="1020"/>
      <x:c r="AL50" s="1020"/>
      <x:c r="AM50" s="54"/>
      <x:c r="AN50" s="54"/>
      <x:c r="AO50" s="54"/>
      <x:c r="AP50" s="54"/>
      <x:c r="AQ50" s="54"/>
      <x:c r="AR50" s="54"/>
    </x:row>
    <x:row r="51" spans="1:44">
      <x:c r="A51" s="1021"/>
      <x:c r="B51" s="1021"/>
      <x:c r="C51" s="43"/>
      <x:c r="D51" s="1021"/>
      <x:c r="E51" s="1021"/>
      <x:c r="F51" s="1021"/>
      <x:c r="G51" s="1021"/>
      <x:c r="H51" s="1021"/>
      <x:c r="I51" s="1020"/>
      <x:c r="J51" s="1020"/>
      <x:c r="K51" s="1020"/>
      <x:c r="L51" s="1020"/>
      <x:c r="M51" s="1020"/>
      <x:c r="N51" s="1020"/>
      <x:c r="O51" s="1020"/>
      <x:c r="P51" s="1020"/>
      <x:c r="Q51" s="1020"/>
      <x:c r="R51" s="1020"/>
      <x:c r="S51" s="1020"/>
      <x:c r="T51" s="1020"/>
      <x:c r="U51" s="1020"/>
      <x:c r="V51" s="1020"/>
      <x:c r="W51" s="1020"/>
      <x:c r="X51" s="1020"/>
      <x:c r="Y51" s="1020"/>
      <x:c r="Z51" s="1020"/>
      <x:c r="AA51" s="1020"/>
      <x:c r="AB51" s="1020"/>
      <x:c r="AC51" s="1020"/>
      <x:c r="AD51" s="1020"/>
      <x:c r="AE51" s="1020"/>
      <x:c r="AF51" s="1020"/>
      <x:c r="AG51" s="1020"/>
      <x:c r="AH51" s="1020"/>
      <x:c r="AI51" s="1020"/>
      <x:c r="AJ51" s="1020"/>
      <x:c r="AK51" s="1020"/>
      <x:c r="AL51" s="1020"/>
      <x:c r="AM51" s="54"/>
      <x:c r="AN51" s="54"/>
      <x:c r="AO51" s="54"/>
      <x:c r="AP51" s="54"/>
      <x:c r="AQ51" s="54"/>
      <x:c r="AR51" s="54"/>
    </x:row>
  </x:sheetData>
  <x:mergeCells count="99">
    <x:mergeCell ref="AL50:AL51"/>
    <x:mergeCell ref="AF50:AF51"/>
    <x:mergeCell ref="AG50:AG51"/>
    <x:mergeCell ref="AH50:AH51"/>
    <x:mergeCell ref="AI50:AI51"/>
    <x:mergeCell ref="AJ50:AJ51"/>
    <x:mergeCell ref="AK50:AK51"/>
    <x:mergeCell ref="Z50:Z51"/>
    <x:mergeCell ref="AA50:AA51"/>
    <x:mergeCell ref="AB50:AB51"/>
    <x:mergeCell ref="AC50:AC51"/>
    <x:mergeCell ref="AD50:AD51"/>
    <x:mergeCell ref="AE50:AE51"/>
    <x:mergeCell ref="T50:T51"/>
    <x:mergeCell ref="U50:U51"/>
    <x:mergeCell ref="V50:V51"/>
    <x:mergeCell ref="W50:W51"/>
    <x:mergeCell ref="X50:X51"/>
    <x:mergeCell ref="Y50:Y51"/>
    <x:mergeCell ref="N50:N51"/>
    <x:mergeCell ref="O50:O51"/>
    <x:mergeCell ref="P50:P51"/>
    <x:mergeCell ref="Q50:Q51"/>
    <x:mergeCell ref="R50:R51"/>
    <x:mergeCell ref="S50:S51"/>
    <x:mergeCell ref="H50:H51"/>
    <x:mergeCell ref="I50:I51"/>
    <x:mergeCell ref="J50:J51"/>
    <x:mergeCell ref="K50:K51"/>
    <x:mergeCell ref="L50:L51"/>
    <x:mergeCell ref="M50:M51"/>
    <x:mergeCell ref="A50:A51"/>
    <x:mergeCell ref="B50:B51"/>
    <x:mergeCell ref="D50:D51"/>
    <x:mergeCell ref="E50:E51"/>
    <x:mergeCell ref="F50:F51"/>
    <x:mergeCell ref="G50:G51"/>
    <x:mergeCell ref="A43:A48"/>
    <x:mergeCell ref="AM43:AR43"/>
    <x:mergeCell ref="AM48:AR48"/>
    <x:mergeCell ref="A36:A41"/>
    <x:mergeCell ref="AM38:AR38"/>
    <x:mergeCell ref="AM39:AR39"/>
    <x:mergeCell ref="AM40:AR40"/>
    <x:mergeCell ref="AM41:AR41"/>
    <x:mergeCell ref="AM31:AR31"/>
    <x:mergeCell ref="AM33:AR33"/>
    <x:mergeCell ref="AM34:AR34"/>
    <x:mergeCell ref="AM20:AR20"/>
    <x:mergeCell ref="A1:M1"/>
    <x:mergeCell ref="N1:Q1"/>
    <x:mergeCell ref="R1:V1"/>
    <x:mergeCell ref="W1:AA1"/>
    <x:mergeCell ref="AB1:AM1"/>
    <x:mergeCell ref="AN1:AR1"/>
    <x:mergeCell ref="AM13:AR13"/>
    <x:mergeCell ref="AM14:AR14"/>
    <x:mergeCell ref="AM15:AR15"/>
    <x:mergeCell ref="AM17:AR17"/>
    <x:mergeCell ref="AM18:AR18"/>
    <x:mergeCell ref="A6:A11"/>
    <x:mergeCell ref="AM6:AR6"/>
    <x:mergeCell ref="AM7:AR7"/>
    <x:mergeCell ref="AM8:AR8"/>
    <x:mergeCell ref="AM9:AR9"/>
    <x:mergeCell ref="AM10:AR10"/>
    <x:mergeCell ref="AM11:AR11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M25:AR25"/>
    <x:mergeCell ref="AM24:AR24"/>
    <x:mergeCell ref="AM26:AR26"/>
    <x:mergeCell ref="AM16:AR16"/>
    <x:mergeCell ref="A13:A18"/>
    <x:mergeCell ref="A28:A33"/>
    <x:mergeCell ref="AM23:AR23"/>
    <x:mergeCell ref="AM44:AR44"/>
    <x:mergeCell ref="AM45:AR45"/>
    <x:mergeCell ref="AM46:AR46"/>
    <x:mergeCell ref="AM47:AR47"/>
    <x:mergeCell ref="A20:A26"/>
    <x:mergeCell ref="AM32:AR32"/>
    <x:mergeCell ref="AM36:AR36"/>
    <x:mergeCell ref="AM37:AR37"/>
    <x:mergeCell ref="AM22:AR22"/>
    <x:mergeCell ref="AM21:AR21"/>
    <x:mergeCell ref="AM30:AR30"/>
    <x:mergeCell ref="AM28:AR28"/>
    <x:mergeCell ref="AM29:AR29"/>
  </x:mergeCells>
  <x:conditionalFormatting sqref="E8:E10">
    <x:cfRule type="containsText" dxfId="61" priority="128" stopIfTrue="1" operator="containsText" text="N">
      <x:formula>NOT(ISERROR(FIND(UPPER("N"),UPPER(E8))))</x:formula>
      <x:formula>"N"</x:formula>
    </x:cfRule>
  </x:conditionalFormatting>
  <x:conditionalFormatting sqref="E15:E18">
    <x:cfRule type="containsText" dxfId="60" priority="163" stopIfTrue="1" operator="containsText" text="N">
      <x:formula>NOT(ISERROR(FIND(UPPER("N"),UPPER(E15))))</x:formula>
      <x:formula>"N"</x:formula>
    </x:cfRule>
  </x:conditionalFormatting>
  <x:conditionalFormatting sqref="E20:E20">
    <x:cfRule type="containsText" dxfId="59" priority="160" stopIfTrue="1" operator="containsText" text="N">
      <x:formula>NOT(ISERROR(FIND(UPPER("N"),UPPER(E20))))</x:formula>
      <x:formula>"N"</x:formula>
    </x:cfRule>
  </x:conditionalFormatting>
  <x:conditionalFormatting sqref="E38:H41">
    <x:cfRule type="containsText" dxfId="57" priority="139" stopIfTrue="1" operator="containsText" text="N">
      <x:formula>NOT(ISERROR(FIND(UPPER("N"),UPPER(E38))))</x:formula>
      <x:formula>"N"</x:formula>
    </x:cfRule>
  </x:conditionalFormatting>
  <x:conditionalFormatting sqref="E43:H43 E48:H48">
    <x:cfRule type="containsText" dxfId="56" priority="157" stopIfTrue="1" operator="containsText" text="N">
      <x:formula>NOT(ISERROR(FIND(UPPER("N"),UPPER(E43))))</x:formula>
      <x:formula>"N"</x:formula>
    </x:cfRule>
  </x:conditionalFormatting>
  <x:conditionalFormatting sqref="Q7:Q7">
    <x:cfRule type="containsText" dxfId="55" priority="114" stopIfTrue="1" operator="containsText" text="N">
      <x:formula>NOT(ISERROR(FIND(UPPER("N"),UPPER(Q7))))</x:formula>
      <x:formula>"N"</x:formula>
    </x:cfRule>
  </x:conditionalFormatting>
  <x:conditionalFormatting sqref="Q6:S6 I7:M7 I8:Q11">
    <x:cfRule type="containsText" dxfId="54" priority="115" stopIfTrue="1" operator="containsText" text="N">
      <x:formula>NOT(ISERROR(FIND(UPPER("N"),UPPER(I6))))</x:formula>
      <x:formula>"N"</x:formula>
    </x:cfRule>
  </x:conditionalFormatting>
  <x:conditionalFormatting sqref="I14:M18">
    <x:cfRule type="containsText" dxfId="53" priority="108" stopIfTrue="1" operator="containsText" text="N">
      <x:formula>NOT(ISERROR(FIND(UPPER("N"),UPPER(I14))))</x:formula>
      <x:formula>"N"</x:formula>
    </x:cfRule>
  </x:conditionalFormatting>
  <x:conditionalFormatting sqref="I38:M40 I41:K41 M41:M41">
    <x:cfRule type="containsText" dxfId="50" priority="80" stopIfTrue="1" operator="containsText" text="N">
      <x:formula>NOT(ISERROR(FIND(UPPER("N"),UPPER(I38))))</x:formula>
      <x:formula>"N"</x:formula>
    </x:cfRule>
  </x:conditionalFormatting>
  <x:conditionalFormatting sqref="I48:M48">
    <x:cfRule type="containsText" dxfId="49" priority="73" stopIfTrue="1" operator="containsText" text="N">
      <x:formula>NOT(ISERROR(FIND(UPPER("N"),UPPER(I48))))</x:formula>
      <x:formula>"N"</x:formula>
    </x:cfRule>
  </x:conditionalFormatting>
  <x:conditionalFormatting sqref="S7:S8">
    <x:cfRule type="containsText" dxfId="48" priority="109" stopIfTrue="1" operator="containsText" text="N">
      <x:formula>NOT(ISERROR(FIND(UPPER("N"),UPPER(S7))))</x:formula>
      <x:formula>"N"</x:formula>
    </x:cfRule>
  </x:conditionalFormatting>
  <x:conditionalFormatting sqref="U8:U8">
    <x:cfRule type="containsText" dxfId="47" priority="111" stopIfTrue="1" operator="containsText" text="N">
      <x:formula>NOT(ISERROR(FIND(UPPER("N"),UPPER(U8))))</x:formula>
      <x:formula>"N"</x:formula>
    </x:cfRule>
  </x:conditionalFormatting>
  <x:conditionalFormatting sqref="I24:M25">
    <x:cfRule type="containsText" dxfId="52" priority="24" stopIfTrue="1" operator="containsText" text="N">
      <x:formula>NOT(ISERROR(FIND(UPPER("N"),UPPER(I24))))</x:formula>
      <x:formula>"N"</x:formula>
    </x:cfRule>
  </x:conditionalFormatting>
  <x:conditionalFormatting sqref="E31:H34">
    <x:cfRule type="containsText" dxfId="58" priority="4" stopIfTrue="1" operator="containsText" text="N">
      <x:formula>NOT(ISERROR(FIND(UPPER("N"),UPPER(E31))))</x:formula>
      <x:formula>"N"</x:formula>
    </x:cfRule>
  </x:conditionalFormatting>
  <x:conditionalFormatting sqref="I31:M34">
    <x:cfRule type="containsText" dxfId="51" priority="3" stopIfTrue="1" operator="containsText" text="N">
      <x:formula>NOT(ISERROR(FIND(UPPER("N"),UPPER(I31))))</x:formula>
      <x:formula>"N"</x:formula>
    </x:cfRule>
  </x:conditionalFormatting>
  <x:conditionalFormatting sqref="S30:S31 Q21:Q25 I21:N23 U36:U36 S36:S36 E36:Q37 U44:U44 S44:S44 E44:Q47 N48:Q48 N38:Q41 O49:O49 I26:Q26 N31:Q34 L41:L41 Q43:S43 U38:U38 S38:S38 Q20:S20 N24:N25 U15:U15 S14:S15 Q13:S13 N15:Q18 Q14:Q14 O25:P25 E30:Q30">
    <x:cfRule type="containsText" dxfId="12" priority="2" stopIfTrue="1" operator="containsText" text="N">
      <x:formula>NOT(ISERROR(FIND(UPPER("N"),UPPER(E13))))</x:formula>
      <x:formula>"N"</x:formula>
    </x:cfRule>
  </x:conditionalFormatting>
  <x:conditionalFormatting sqref="S28:S29 Q28:Q28 E29:Q29 E28:M28">
    <x:cfRule type="containsText" dxfId="12" priority="1" stopIfTrue="1" operator="containsText" text="N">
      <x:formula>NOT(ISERROR(FIND(UPPER("N"),UPPER(E28))))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AU52"/>
  <x:sheetViews>
    <x:sheetView topLeftCell="A1" zoomScale="82" zoomScaleNormal="82" zoomScaleSheetLayoutView="75" workbookViewId="0">
      <x:pane xSplit="0" ySplit="4" topLeftCell="A20" activePane="bottomLeft" state="frozen"/>
      <x:selection pane="bottomLeft" activeCell="U30" activeCellId="0" sqref="U30:U30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hidden="1" customWidth="1"/>
    <x:col min="6" max="8" width="5.375" style="40" hidden="1" customWidth="1"/>
    <x:col min="9" max="18" width="7.125" style="40" hidden="1" customWidth="1"/>
    <x:col min="19" max="20" width="7.125" style="40" customWidth="1"/>
    <x:col min="21" max="21" width="7.125" style="41" customWidth="1"/>
    <x:col min="22" max="38" width="7.125" style="40" customWidth="1"/>
    <x:col min="39" max="42" width="5.625" style="40" customWidth="1"/>
    <x:col min="44" max="44" width="10.5" style="40" customWidth="1"/>
  </x:cols>
  <x:sheetData>
    <x:row r="1" spans="1:44" ht="25.5" customHeight="1">
      <x:c r="A1" s="1046" t="s">
        <x:v>51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 s="39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 s="39" customFormat="1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4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268</x:v>
      </x:c>
      <x:c r="J4" s="96" t="s">
        <x:v>248</x:v>
      </x:c>
      <x:c r="K4" s="96" t="s">
        <x:v>244</x:v>
      </x:c>
      <x:c r="L4" s="98" t="s">
        <x:v>291</x:v>
      </x:c>
      <x:c r="M4" s="95" t="s">
        <x:v>325</x:v>
      </x:c>
      <x:c r="N4" s="97" t="s">
        <x:v>251</x:v>
      </x:c>
      <x:c r="O4" s="96" t="s">
        <x:v>293</x:v>
      </x:c>
      <x:c r="P4" s="96" t="s">
        <x:v>269</x:v>
      </x:c>
      <x:c r="Q4" s="96" t="s">
        <x:v>245</x:v>
      </x:c>
      <x:c r="R4" s="95"/>
      <x:c r="S4" s="97" t="s">
        <x:v>304</x:v>
      </x:c>
      <x:c r="T4" s="96" t="s">
        <x:v>263</x:v>
      </x:c>
      <x:c r="U4" s="96" t="s">
        <x:v>288</x:v>
      </x:c>
      <x:c r="V4" s="96" t="s">
        <x:v>227</x:v>
      </x:c>
      <x:c r="W4" s="95"/>
      <x:c r="X4" s="97" t="s">
        <x:v>317</x:v>
      </x:c>
      <x:c r="Y4" s="133" t="s">
        <x:v>332</x:v>
      </x:c>
      <x:c r="Z4" s="96" t="s">
        <x:v>299</x:v>
      </x:c>
      <x:c r="AA4" s="96" t="s">
        <x:v>296</x:v>
      </x:c>
      <x:c r="AB4" s="95" t="s">
        <x:v>283</x:v>
      </x:c>
      <x:c r="AC4" s="97" t="s">
        <x:v>338</x:v>
      </x:c>
      <x:c r="AD4" s="96" t="s">
        <x:v>297</x:v>
      </x:c>
      <x:c r="AE4" s="96" t="s">
        <x:v>285</x:v>
      </x:c>
      <x:c r="AF4" s="96" t="s">
        <x:v>274</x:v>
      </x:c>
      <x:c r="AG4" s="95"/>
      <x:c r="AH4" s="97" t="s">
        <x:v>304</x:v>
      </x:c>
      <x:c r="AI4" s="96" t="s">
        <x:v>263</x:v>
      </x:c>
      <x:c r="AJ4" s="96" t="s">
        <x:v>288</x:v>
      </x:c>
      <x:c r="AK4" s="133" t="s">
        <x:v>227</x:v>
      </x:c>
      <x:c r="AL4" s="98"/>
      <x:c r="AM4" s="1072"/>
      <x:c r="AN4" s="1073"/>
      <x:c r="AO4" s="1073"/>
      <x:c r="AP4" s="1073"/>
      <x:c r="AQ4" s="1073"/>
      <x:c r="AR4" s="1074"/>
    </x:row>
    <x:row r="5" spans="1:44" ht="16.5" customHeight="1">
      <x:c r="A5" s="54"/>
      <x:c r="B5" s="83"/>
      <x:c r="C5" s="54"/>
      <x:c r="D5" s="54"/>
      <x:c r="E5" s="54"/>
      <x:c r="F5" s="54"/>
      <x:c r="G5" s="54"/>
      <x:c r="H5" s="54"/>
      <x:c r="I5" s="99"/>
      <x:c r="J5" s="99"/>
      <x:c r="K5" s="99"/>
      <x:c r="L5" s="99"/>
      <x:c r="M5" s="99"/>
      <x:c r="N5" s="105"/>
      <x:c r="O5" s="99"/>
      <x:c r="P5" s="105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100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</x:row>
    <x:row r="6" spans="1:44" ht="16.5" customHeight="1">
      <x:c r="A6" s="1129">
        <x:v>0.083333333333333329</x:v>
      </x:c>
      <x:c r="B6" s="55"/>
      <x:c r="C6" s="55"/>
      <x:c r="D6" s="55"/>
      <x:c r="E6" s="51"/>
      <x:c r="F6" s="51"/>
      <x:c r="G6" s="51"/>
      <x:c r="H6" s="51"/>
      <x:c r="I6" s="123"/>
      <x:c r="J6" s="58"/>
      <x:c r="K6" s="58"/>
      <x:c r="L6" s="58"/>
      <x:c r="M6" s="124"/>
      <x:c r="N6" s="127"/>
      <x:c r="O6" s="58"/>
      <x:c r="P6" s="58"/>
      <x:c r="Q6" s="57"/>
      <x:c r="R6" s="138"/>
      <x:c r="S6" s="119"/>
      <x:c r="T6" s="57"/>
      <x:c r="U6" s="57"/>
      <x:c r="V6" s="57"/>
      <x:c r="W6" s="138"/>
      <x:c r="X6" s="119"/>
      <x:c r="Y6" s="145"/>
      <x:c r="Z6" s="57"/>
      <x:c r="AA6" s="57"/>
      <x:c r="AB6" s="121"/>
      <x:c r="AC6" s="119"/>
      <x:c r="AD6" s="57"/>
      <x:c r="AE6" s="57"/>
      <x:c r="AF6" s="57"/>
      <x:c r="AG6" s="138"/>
      <x:c r="AH6" s="57"/>
      <x:c r="AI6" s="57"/>
      <x:c r="AJ6" s="57"/>
      <x:c r="AK6" s="145"/>
      <x:c r="AL6" s="149"/>
      <x:c r="AM6" s="1026"/>
      <x:c r="AN6" s="1027"/>
      <x:c r="AO6" s="1027"/>
      <x:c r="AP6" s="1027"/>
      <x:c r="AQ6" s="1027"/>
      <x:c r="AR6" s="1028"/>
    </x:row>
    <x:row r="7" spans="1:44" ht="17.25" customHeight="1">
      <x:c r="A7" s="1116"/>
      <x:c r="B7" s="84"/>
      <x:c r="C7" s="71"/>
      <x:c r="D7" s="66"/>
      <x:c r="E7" s="44"/>
      <x:c r="F7" s="44"/>
      <x:c r="G7" s="44"/>
      <x:c r="H7" s="44"/>
      <x:c r="I7" s="125"/>
      <x:c r="J7" s="85"/>
      <x:c r="K7" s="85"/>
      <x:c r="L7" s="85"/>
      <x:c r="M7" s="126"/>
      <x:c r="N7" s="118"/>
      <x:c r="O7" s="72"/>
      <x:c r="P7" s="72"/>
      <x:c r="Q7" s="71"/>
      <x:c r="R7" s="139"/>
      <x:c r="S7" s="120"/>
      <x:c r="T7" s="71"/>
      <x:c r="U7" s="71"/>
      <x:c r="V7" s="71"/>
      <x:c r="W7" s="139"/>
      <x:c r="X7" s="120"/>
      <x:c r="Y7" s="146"/>
      <x:c r="Z7" s="71"/>
      <x:c r="AA7" s="71"/>
      <x:c r="AB7" s="122"/>
      <x:c r="AC7" s="120"/>
      <x:c r="AD7" s="71"/>
      <x:c r="AE7" s="71"/>
      <x:c r="AF7" s="71"/>
      <x:c r="AG7" s="139"/>
      <x:c r="AH7" s="71"/>
      <x:c r="AI7" s="71"/>
      <x:c r="AJ7" s="71"/>
      <x:c r="AK7" s="146"/>
      <x:c r="AL7" s="150"/>
      <x:c r="AM7" s="1029"/>
      <x:c r="AN7" s="1030"/>
      <x:c r="AO7" s="1030"/>
      <x:c r="AP7" s="1030"/>
      <x:c r="AQ7" s="1030"/>
      <x:c r="AR7" s="1031"/>
    </x:row>
    <x:row r="8" spans="1:44" ht="17.449999999999999" customHeight="1">
      <x:c r="A8" s="1116"/>
      <x:c r="B8" s="85"/>
      <x:c r="C8" s="71"/>
      <x:c r="D8" s="66"/>
      <x:c r="E8" s="44"/>
      <x:c r="F8" s="44"/>
      <x:c r="G8" s="44"/>
      <x:c r="H8" s="44"/>
      <x:c r="I8" s="125"/>
      <x:c r="J8" s="85"/>
      <x:c r="K8" s="85"/>
      <x:c r="L8" s="85"/>
      <x:c r="M8" s="126"/>
      <x:c r="N8" s="125"/>
      <x:c r="O8" s="85"/>
      <x:c r="P8" s="85"/>
      <x:c r="Q8" s="85"/>
      <x:c r="R8" s="139"/>
      <x:c r="S8" s="120"/>
      <x:c r="T8" s="71"/>
      <x:c r="U8" s="71"/>
      <x:c r="V8" s="71"/>
      <x:c r="W8" s="139"/>
      <x:c r="X8" s="120"/>
      <x:c r="Y8" s="146"/>
      <x:c r="Z8" s="71"/>
      <x:c r="AA8" s="71"/>
      <x:c r="AB8" s="122"/>
      <x:c r="AC8" s="120"/>
      <x:c r="AD8" s="71"/>
      <x:c r="AE8" s="71"/>
      <x:c r="AF8" s="71"/>
      <x:c r="AG8" s="139"/>
      <x:c r="AH8" s="71"/>
      <x:c r="AI8" s="71"/>
      <x:c r="AJ8" s="71"/>
      <x:c r="AK8" s="146"/>
      <x:c r="AL8" s="150"/>
      <x:c r="AM8" s="1029"/>
      <x:c r="AN8" s="1030"/>
      <x:c r="AO8" s="1030"/>
      <x:c r="AP8" s="1030"/>
      <x:c r="AQ8" s="1030"/>
      <x:c r="AR8" s="1031"/>
    </x:row>
    <x:row r="9" spans="1:46" ht="17.449999999999999" customHeight="1">
      <x:c r="A9" s="1130"/>
      <x:c r="B9" s="86"/>
      <x:c r="C9" s="60"/>
      <x:c r="D9" s="42"/>
      <x:c r="E9" s="47"/>
      <x:c r="F9" s="47"/>
      <x:c r="G9" s="47"/>
      <x:c r="H9" s="47"/>
      <x:c r="I9" s="125"/>
      <x:c r="J9" s="85"/>
      <x:c r="K9" s="85"/>
      <x:c r="L9" s="85"/>
      <x:c r="M9" s="126"/>
      <x:c r="N9" s="125"/>
      <x:c r="O9" s="85"/>
      <x:c r="P9" s="85"/>
      <x:c r="Q9" s="85"/>
      <x:c r="R9" s="139"/>
      <x:c r="S9" s="120"/>
      <x:c r="T9" s="71"/>
      <x:c r="U9" s="71"/>
      <x:c r="V9" s="71"/>
      <x:c r="W9" s="139"/>
      <x:c r="X9" s="120"/>
      <x:c r="Y9" s="146"/>
      <x:c r="Z9" s="71"/>
      <x:c r="AA9" s="71"/>
      <x:c r="AB9" s="122"/>
      <x:c r="AC9" s="120"/>
      <x:c r="AD9" s="71"/>
      <x:c r="AE9" s="71"/>
      <x:c r="AF9" s="71"/>
      <x:c r="AG9" s="139"/>
      <x:c r="AH9" s="71"/>
      <x:c r="AI9" s="71"/>
      <x:c r="AJ9" s="71"/>
      <x:c r="AK9" s="146"/>
      <x:c r="AL9" s="150"/>
      <x:c r="AM9" s="1153"/>
      <x:c r="AN9" s="1154"/>
      <x:c r="AO9" s="1154"/>
      <x:c r="AP9" s="1154"/>
      <x:c r="AQ9" s="1154"/>
      <x:c r="AR9" s="1155"/>
      <x:c r="AS9" s="719"/>
      <x:c r="AT9" s="719"/>
    </x:row>
    <x:row r="10" spans="1:46" ht="17.449999999999999" customHeight="1">
      <x:c r="A10" s="1130"/>
      <x:c r="B10" s="86"/>
      <x:c r="C10" s="60"/>
      <x:c r="D10" s="42"/>
      <x:c r="E10" s="47"/>
      <x:c r="F10" s="47"/>
      <x:c r="G10" s="47"/>
      <x:c r="H10" s="47"/>
      <x:c r="I10" s="128"/>
      <x:c r="J10" s="86"/>
      <x:c r="K10" s="86"/>
      <x:c r="L10" s="86"/>
      <x:c r="M10" s="129"/>
      <x:c r="N10" s="128"/>
      <x:c r="O10" s="86"/>
      <x:c r="P10" s="86"/>
      <x:c r="Q10" s="111"/>
      <x:c r="R10" s="140"/>
      <x:c r="S10" s="114"/>
      <x:c r="T10" s="77"/>
      <x:c r="U10" s="77"/>
      <x:c r="V10" s="77"/>
      <x:c r="W10" s="140"/>
      <x:c r="X10" s="114"/>
      <x:c r="Y10" s="147"/>
      <x:c r="Z10" s="77"/>
      <x:c r="AA10" s="77"/>
      <x:c r="AB10" s="115"/>
      <x:c r="AC10" s="114"/>
      <x:c r="AD10" s="77"/>
      <x:c r="AE10" s="77"/>
      <x:c r="AF10" s="77"/>
      <x:c r="AG10" s="140"/>
      <x:c r="AH10" s="77"/>
      <x:c r="AI10" s="77"/>
      <x:c r="AJ10" s="77"/>
      <x:c r="AK10" s="147"/>
      <x:c r="AL10" s="151"/>
      <x:c r="AM10" s="1043"/>
      <x:c r="AN10" s="1044"/>
      <x:c r="AO10" s="1044"/>
      <x:c r="AP10" s="1044"/>
      <x:c r="AQ10" s="1044"/>
      <x:c r="AR10" s="1045"/>
      <x:c r="AS10" s="719"/>
      <x:c r="AT10" s="719"/>
    </x:row>
    <x:row r="11" spans="1:46" ht="16.75">
      <x:c r="A11" s="1117"/>
      <x:c r="B11" s="87"/>
      <x:c r="C11" s="73"/>
      <x:c r="D11" s="68"/>
      <x:c r="E11" s="56"/>
      <x:c r="F11" s="56"/>
      <x:c r="G11" s="56"/>
      <x:c r="H11" s="56"/>
      <x:c r="I11" s="280" t="s">
        <x:v>158</x:v>
      </x:c>
      <x:c r="J11" s="80"/>
      <x:c r="K11" s="80"/>
      <x:c r="L11" s="80"/>
      <x:c r="M11" s="394" t="s">
        <x:v>272</x:v>
      </x:c>
      <x:c r="N11" s="116"/>
      <x:c r="O11" s="80"/>
      <x:c r="P11" s="80"/>
      <x:c r="Q11" s="80"/>
      <x:c r="R11" s="137"/>
      <x:c r="S11" s="116"/>
      <x:c r="T11" s="80"/>
      <x:c r="U11" s="80"/>
      <x:c r="V11" s="80"/>
      <x:c r="W11" s="137"/>
      <x:c r="X11" s="116"/>
      <x:c r="Y11" s="148"/>
      <x:c r="Z11" s="80"/>
      <x:c r="AA11" s="80"/>
      <x:c r="AB11" s="117"/>
      <x:c r="AC11" s="116"/>
      <x:c r="AD11" s="80"/>
      <x:c r="AE11" s="80"/>
      <x:c r="AF11" s="80"/>
      <x:c r="AG11" s="137"/>
      <x:c r="AH11" s="80"/>
      <x:c r="AI11" s="80"/>
      <x:c r="AJ11" s="80"/>
      <x:c r="AK11" s="148"/>
      <x:c r="AL11" s="152"/>
      <x:c r="AM11" s="1108"/>
      <x:c r="AN11" s="1109"/>
      <x:c r="AO11" s="1109"/>
      <x:c r="AP11" s="1109"/>
      <x:c r="AQ11" s="1109"/>
      <x:c r="AR11" s="1110"/>
      <x:c r="AS11" s="719"/>
      <x:c r="AT11" s="719"/>
    </x:row>
    <x:row r="12" spans="1:46">
      <x:c r="A12" s="54"/>
      <x:c r="B12" s="94"/>
      <x:c r="C12" s="74"/>
      <x:c r="D12" s="74"/>
      <x:c r="E12" s="74"/>
      <x:c r="F12" s="74"/>
      <x:c r="G12" s="74"/>
      <x:c r="H12" s="74"/>
      <x:c r="I12" s="105"/>
      <x:c r="J12" s="105"/>
      <x:c r="K12" s="105"/>
      <x:c r="L12" s="105"/>
      <x:c r="M12" s="105"/>
      <x:c r="N12" s="112"/>
      <x:c r="O12" s="105"/>
      <x:c r="P12" s="105"/>
      <x:c r="Q12" s="105"/>
      <x:c r="R12" s="105"/>
      <x:c r="S12" s="105"/>
      <x:c r="T12" s="105"/>
      <x:c r="U12" s="105"/>
      <x:c r="V12" s="105"/>
      <x:c r="W12" s="105"/>
      <x:c r="X12" s="105"/>
      <x:c r="Y12" s="105"/>
      <x:c r="Z12" s="105"/>
      <x:c r="AA12" s="105"/>
      <x:c r="AB12" s="105"/>
      <x:c r="AC12" s="105"/>
      <x:c r="AD12" s="105"/>
      <x:c r="AE12" s="105"/>
      <x:c r="AF12" s="105"/>
      <x:c r="AG12" s="105"/>
      <x:c r="AH12" s="105"/>
      <x:c r="AI12" s="105"/>
      <x:c r="AJ12" s="105"/>
      <x:c r="AK12" s="105"/>
      <x:c r="AL12" s="105"/>
      <x:c r="AM12" s="772"/>
      <x:c r="AN12" s="772"/>
      <x:c r="AO12" s="772"/>
      <x:c r="AP12" s="772"/>
      <x:c r="AQ12" s="772"/>
      <x:c r="AR12" s="772"/>
      <x:c r="AS12" s="719"/>
      <x:c r="AT12" s="719"/>
    </x:row>
    <x:row r="13" spans="1:46" ht="16.5" customHeight="1">
      <x:c r="A13" s="1129">
        <x:v>0.125</x:v>
      </x:c>
      <x:c r="B13" s="322" t="s">
        <x:v>266</x:v>
      </x:c>
      <x:c r="C13" s="63" t="s">
        <x:v>275</x:v>
      </x:c>
      <x:c r="D13" s="204" t="s">
        <x:v>375</x:v>
      </x:c>
      <x:c r="E13" s="743"/>
      <x:c r="F13" s="46"/>
      <x:c r="G13" s="46"/>
      <x:c r="H13" s="46"/>
      <x:c r="I13" s="313" t="s">
        <x:v>88</x:v>
      </x:c>
      <x:c r="J13" s="307"/>
      <x:c r="K13" s="307"/>
      <x:c r="L13" s="307"/>
      <x:c r="M13" s="745"/>
      <x:c r="N13" s="274"/>
      <x:c r="O13" s="307"/>
      <x:c r="P13" s="307"/>
      <x:c r="Q13" s="593"/>
      <x:c r="R13" s="138"/>
      <x:c r="S13" s="665"/>
      <x:c r="T13" s="593"/>
      <x:c r="U13" s="593"/>
      <x:c r="V13" s="593"/>
      <x:c r="W13" s="138"/>
      <x:c r="X13" s="665"/>
      <x:c r="Y13" s="145"/>
      <x:c r="Z13" s="593"/>
      <x:c r="AA13" s="593"/>
      <x:c r="AB13" s="138"/>
      <x:c r="AC13" s="975" t="s">
        <x:v>63</x:v>
      </x:c>
      <x:c r="AD13" s="145"/>
      <x:c r="AE13" s="145"/>
      <x:c r="AF13" s="145"/>
      <x:c r="AG13" s="145"/>
      <x:c r="AH13" s="57"/>
      <x:c r="AI13" s="57"/>
      <x:c r="AJ13" s="57"/>
      <x:c r="AK13" s="145"/>
      <x:c r="AL13" s="149"/>
      <x:c r="AM13" s="1192" t="s">
        <x:v>428</x:v>
      </x:c>
      <x:c r="AN13" s="1193"/>
      <x:c r="AO13" s="1193"/>
      <x:c r="AP13" s="1193"/>
      <x:c r="AQ13" s="1193"/>
      <x:c r="AR13" s="1194"/>
      <x:c r="AS13" s="882"/>
      <x:c r="AT13" s="882"/>
    </x:row>
    <x:row r="14" spans="1:46" ht="17.25" customHeight="1">
      <x:c r="A14" s="1116"/>
      <x:c r="B14" s="748" t="s">
        <x:v>181</x:v>
      </x:c>
      <x:c r="C14" s="71" t="s">
        <x:v>172</x:v>
      </x:c>
      <x:c r="D14" s="187" t="s">
        <x:v>378</x:v>
      </x:c>
      <x:c r="E14" s="253"/>
      <x:c r="F14" s="44"/>
      <x:c r="G14" s="44"/>
      <x:c r="H14" s="44"/>
      <x:c r="I14" s="306"/>
      <x:c r="J14" s="306"/>
      <x:c r="K14" s="306"/>
      <x:c r="L14" s="306"/>
      <x:c r="M14" s="746"/>
      <x:c r="N14" s="275"/>
      <x:c r="O14" s="306"/>
      <x:c r="P14" s="306"/>
      <x:c r="Q14" s="306"/>
      <x:c r="R14" s="139"/>
      <x:c r="S14" s="292"/>
      <x:c r="T14" s="302"/>
      <x:c r="U14" s="302"/>
      <x:c r="V14" s="302"/>
      <x:c r="W14" s="139"/>
      <x:c r="X14" s="292"/>
      <x:c r="Y14" s="146"/>
      <x:c r="Z14" s="302"/>
      <x:c r="AA14" s="302"/>
      <x:c r="AB14" s="605" t="s">
        <x:v>63</x:v>
      </x:c>
      <x:c r="AC14" s="459"/>
      <x:c r="AD14" s="71"/>
      <x:c r="AE14" s="71"/>
      <x:c r="AF14" s="71"/>
      <x:c r="AG14" s="146"/>
      <x:c r="AH14" s="71"/>
      <x:c r="AI14" s="71"/>
      <x:c r="AJ14" s="71"/>
      <x:c r="AK14" s="146"/>
      <x:c r="AL14" s="150"/>
      <x:c r="AM14" s="1195" t="s">
        <x:v>22</x:v>
      </x:c>
      <x:c r="AN14" s="1196"/>
      <x:c r="AO14" s="1196"/>
      <x:c r="AP14" s="1196"/>
      <x:c r="AQ14" s="1196"/>
      <x:c r="AR14" s="1197"/>
      <x:c r="AS14" s="286" t="s">
        <x:v>43</x:v>
      </x:c>
      <x:c r="AT14" s="286" t="s">
        <x:v>145</x:v>
      </x:c>
    </x:row>
    <x:row r="15" spans="1:46" ht="17.449999999999999" customHeight="1">
      <x:c r="A15" s="1116"/>
      <x:c r="B15" s="201" t="s">
        <x:v>206</x:v>
      </x:c>
      <x:c r="C15" s="53" t="s">
        <x:v>159</x:v>
      </x:c>
      <x:c r="D15" s="187" t="s">
        <x:v>378</x:v>
      </x:c>
      <x:c r="E15" s="253"/>
      <x:c r="F15" s="44"/>
      <x:c r="G15" s="44"/>
      <x:c r="H15" s="44"/>
      <x:c r="I15" s="71"/>
      <x:c r="J15" s="71"/>
      <x:c r="K15" s="302" t="s">
        <x:v>403</x:v>
      </x:c>
      <x:c r="L15" s="71"/>
      <x:c r="M15" s="747" t="s">
        <x:v>292</x:v>
      </x:c>
      <x:c r="N15" s="292" t="s">
        <x:v>272</x:v>
      </x:c>
      <x:c r="O15" s="146" t="s">
        <x:v>272</x:v>
      </x:c>
      <x:c r="P15" s="302" t="s">
        <x:v>272</x:v>
      </x:c>
      <x:c r="Q15" s="302" t="s">
        <x:v>344</x:v>
      </x:c>
      <x:c r="R15" s="139"/>
      <x:c r="S15" s="292" t="s">
        <x:v>323</x:v>
      </x:c>
      <x:c r="T15" s="302"/>
      <x:c r="U15" s="71"/>
      <x:c r="V15" s="302"/>
      <x:c r="W15" s="139"/>
      <x:c r="X15" s="292"/>
      <x:c r="Y15" s="146"/>
      <x:c r="Z15" s="302"/>
      <x:c r="AA15" s="302"/>
      <x:c r="AB15" s="605" t="s">
        <x:v>63</x:v>
      </x:c>
      <x:c r="AC15" s="1358" t="s">
        <x:v>310</x:v>
      </x:c>
      <x:c r="AD15" s="71"/>
      <x:c r="AE15" s="71"/>
      <x:c r="AF15" s="71"/>
      <x:c r="AG15" s="146"/>
      <x:c r="AH15" s="71"/>
      <x:c r="AI15" s="71"/>
      <x:c r="AJ15" s="71"/>
      <x:c r="AK15" s="146"/>
      <x:c r="AL15" s="150"/>
      <x:c r="AM15" s="1153" t="s">
        <x:v>14</x:v>
      </x:c>
      <x:c r="AN15" s="1154"/>
      <x:c r="AO15" s="1154"/>
      <x:c r="AP15" s="1154"/>
      <x:c r="AQ15" s="1154"/>
      <x:c r="AR15" s="1155"/>
      <x:c r="AS15" s="286" t="s">
        <x:v>43</x:v>
      </x:c>
      <x:c r="AT15" s="286"/>
    </x:row>
    <x:row r="16" spans="1:46" ht="17.449999999999999" customHeight="1">
      <x:c r="A16" s="1130"/>
      <x:c r="B16" s="201" t="s">
        <x:v>438</x:v>
      </x:c>
      <x:c r="C16" s="53" t="s">
        <x:v>159</x:v>
      </x:c>
      <x:c r="D16" s="187" t="s">
        <x:v>375</x:v>
      </x:c>
      <x:c r="E16" s="253"/>
      <x:c r="F16" s="44"/>
      <x:c r="G16" s="44"/>
      <x:c r="H16" s="44"/>
      <x:c r="I16" s="71"/>
      <x:c r="J16" s="71"/>
      <x:c r="K16" s="302"/>
      <x:c r="L16" s="71"/>
      <x:c r="M16" s="747"/>
      <x:c r="N16" s="686"/>
      <x:c r="O16" s="385"/>
      <x:c r="P16" s="385"/>
      <x:c r="Q16" s="385"/>
      <x:c r="R16" s="678"/>
      <x:c r="S16" s="686"/>
      <x:c r="T16" s="385"/>
      <x:c r="U16" s="385"/>
      <x:c r="V16" s="302" t="s">
        <x:v>223</x:v>
      </x:c>
      <x:c r="W16" s="678"/>
      <x:c r="X16" s="686"/>
      <x:c r="Y16" s="385"/>
      <x:c r="Z16" s="302" t="s">
        <x:v>180</x:v>
      </x:c>
      <x:c r="AA16" s="146" t="s">
        <x:v>180</x:v>
      </x:c>
      <x:c r="AB16" s="122"/>
      <x:c r="AC16" s="380"/>
      <x:c r="AD16" s="71" t="s">
        <x:v>323</x:v>
      </x:c>
      <x:c r="AE16" s="71"/>
      <x:c r="AF16" s="71"/>
      <x:c r="AG16" s="146"/>
      <x:c r="AH16" s="71"/>
      <x:c r="AI16" s="71"/>
      <x:c r="AJ16" s="71"/>
      <x:c r="AK16" s="146"/>
      <x:c r="AL16" s="150"/>
      <x:c r="AM16" s="1153"/>
      <x:c r="AN16" s="1154"/>
      <x:c r="AO16" s="1154"/>
      <x:c r="AP16" s="1154"/>
      <x:c r="AQ16" s="1154"/>
      <x:c r="AR16" s="1155"/>
      <x:c r="AS16" s="719"/>
      <x:c r="AT16" s="286" t="s">
        <x:v>145</x:v>
      </x:c>
    </x:row>
    <x:row r="17" spans="1:47" ht="17.449999999999999" customHeight="1">
      <x:c r="A17" s="1130"/>
      <x:c r="B17" s="564" t="s">
        <x:v>437</x:v>
      </x:c>
      <x:c r="C17" s="317" t="s">
        <x:v>159</x:v>
      </x:c>
      <x:c r="D17" s="392" t="s">
        <x:v>375</x:v>
      </x:c>
      <x:c r="E17" s="769"/>
      <x:c r="F17" s="687"/>
      <x:c r="G17" s="687"/>
      <x:c r="H17" s="687"/>
      <x:c r="I17" s="385"/>
      <x:c r="J17" s="385"/>
      <x:c r="K17" s="385"/>
      <x:c r="L17" s="385"/>
      <x:c r="M17" s="770"/>
      <x:c r="N17" s="686"/>
      <x:c r="O17" s="385"/>
      <x:c r="P17" s="385"/>
      <x:c r="Q17" s="385"/>
      <x:c r="R17" s="678"/>
      <x:c r="S17" s="686"/>
      <x:c r="T17" s="385"/>
      <x:c r="U17" s="385"/>
      <x:c r="V17" s="385"/>
      <x:c r="W17" s="678"/>
      <x:c r="X17" s="686"/>
      <x:c r="Y17" s="385"/>
      <x:c r="Z17" s="385"/>
      <x:c r="AA17" s="385"/>
      <x:c r="AB17" s="678"/>
      <x:c r="AC17" s="771"/>
      <x:c r="AD17" s="385" t="s">
        <x:v>323</x:v>
      </x:c>
      <x:c r="AE17" s="385"/>
      <x:c r="AF17" s="385"/>
      <x:c r="AG17" s="146"/>
      <x:c r="AH17" s="385"/>
      <x:c r="AI17" s="385"/>
      <x:c r="AJ17" s="385"/>
      <x:c r="AK17" s="146"/>
      <x:c r="AL17" s="150"/>
      <x:c r="AM17" s="1153"/>
      <x:c r="AN17" s="1154"/>
      <x:c r="AO17" s="1154"/>
      <x:c r="AP17" s="1154"/>
      <x:c r="AQ17" s="1154"/>
      <x:c r="AR17" s="1155"/>
      <x:c r="AS17" s="719"/>
      <x:c r="AT17" s="286" t="s">
        <x:v>145</x:v>
      </x:c>
      <x:c r="AU17" s="719"/>
    </x:row>
    <x:row r="18" spans="1:44" ht="17.149999999999999" customHeight="1">
      <x:c r="A18" s="1117"/>
      <x:c r="B18" s="295"/>
      <x:c r="C18" s="68"/>
      <x:c r="D18" s="243"/>
      <x:c r="E18" s="218"/>
      <x:c r="F18" s="56"/>
      <x:c r="G18" s="56"/>
      <x:c r="H18" s="56"/>
      <x:c r="I18" s="80"/>
      <x:c r="J18" s="80"/>
      <x:c r="K18" s="80"/>
      <x:c r="L18" s="80"/>
      <x:c r="M18" s="104"/>
      <x:c r="N18" s="280" t="s">
        <x:v>393</x:v>
      </x:c>
      <x:c r="O18" s="80"/>
      <x:c r="P18" s="80"/>
      <x:c r="Q18" s="80"/>
      <x:c r="R18" s="117"/>
      <x:c r="S18" s="116"/>
      <x:c r="T18" s="80"/>
      <x:c r="U18" s="80"/>
      <x:c r="V18" s="80"/>
      <x:c r="W18" s="117"/>
      <x:c r="X18" s="116"/>
      <x:c r="Y18" s="80"/>
      <x:c r="Z18" s="80"/>
      <x:c r="AA18" s="80"/>
      <x:c r="AB18" s="117"/>
      <x:c r="AC18" s="697"/>
      <x:c r="AD18" s="80"/>
      <x:c r="AE18" s="80"/>
      <x:c r="AF18" s="80"/>
      <x:c r="AG18" s="148"/>
      <x:c r="AH18" s="80"/>
      <x:c r="AI18" s="80"/>
      <x:c r="AJ18" s="80"/>
      <x:c r="AK18" s="148"/>
      <x:c r="AL18" s="152"/>
      <x:c r="AM18" s="1189"/>
      <x:c r="AN18" s="1190"/>
      <x:c r="AO18" s="1190"/>
      <x:c r="AP18" s="1190"/>
      <x:c r="AQ18" s="1190"/>
      <x:c r="AR18" s="1191"/>
    </x:row>
    <x:row r="19" spans="1:44" ht="16.75">
      <x:c r="A19" s="233"/>
      <x:c r="B19" s="234"/>
      <x:c r="C19" s="235"/>
      <x:c r="D19" s="235"/>
      <x:c r="E19" s="502"/>
      <x:c r="F19" s="502"/>
      <x:c r="G19" s="502"/>
      <x:c r="H19" s="502"/>
      <x:c r="I19" s="236"/>
      <x:c r="J19" s="105"/>
      <x:c r="K19" s="105"/>
      <x:c r="L19" s="105"/>
      <x:c r="M19" s="105"/>
      <x:c r="N19" s="744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 s="105"/>
      <x:c r="AB19" s="105"/>
      <x:c r="AC19" s="105"/>
      <x:c r="AD19" s="105"/>
      <x:c r="AE19" s="105"/>
      <x:c r="AF19" s="105"/>
      <x:c r="AG19" s="105"/>
      <x:c r="AH19" s="105"/>
      <x:c r="AI19" s="105"/>
      <x:c r="AJ19" s="105"/>
      <x:c r="AK19" s="105"/>
      <x:c r="AL19" s="105"/>
      <x:c r="AM19" s="54"/>
      <x:c r="AN19" s="54"/>
      <x:c r="AO19" s="54"/>
      <x:c r="AP19" s="54"/>
      <x:c r="AQ19" s="54"/>
      <x:c r="AR19" s="54"/>
    </x:row>
    <x:row r="20" spans="1:46" ht="16.5" customHeight="1">
      <x:c r="A20" s="1129">
        <x:v>0.16666666666666666</x:v>
      </x:c>
      <x:c r="B20" s="72" t="s">
        <x:v>173</x:v>
      </x:c>
      <x:c r="C20" s="72" t="s">
        <x:v>275</x:v>
      </x:c>
      <x:c r="D20" s="207" t="s">
        <x:v>375</x:v>
      </x:c>
      <x:c r="E20" s="47"/>
      <x:c r="F20" s="47"/>
      <x:c r="G20" s="47"/>
      <x:c r="H20" s="47"/>
      <x:c r="I20" s="275"/>
      <x:c r="J20" s="306"/>
      <x:c r="K20" s="306"/>
      <x:c r="L20" s="306"/>
      <x:c r="M20" s="135"/>
      <x:c r="N20" s="275"/>
      <x:c r="O20" s="306"/>
      <x:c r="P20" s="306"/>
      <x:c r="Q20" s="306"/>
      <x:c r="R20" s="139"/>
      <x:c r="S20" s="292"/>
      <x:c r="T20" s="302"/>
      <x:c r="U20" s="302"/>
      <x:c r="V20" s="302"/>
      <x:c r="W20" s="139"/>
      <x:c r="X20" s="292"/>
      <x:c r="Y20" s="146"/>
      <x:c r="Z20" s="302"/>
      <x:c r="AA20" s="302"/>
      <x:c r="AB20" s="605" t="s">
        <x:v>63</x:v>
      </x:c>
      <x:c r="AC20" s="292"/>
      <x:c r="AD20" s="71"/>
      <x:c r="AE20" s="71"/>
      <x:c r="AF20" s="71"/>
      <x:c r="AG20" s="139"/>
      <x:c r="AH20" s="71"/>
      <x:c r="AI20" s="71"/>
      <x:c r="AJ20" s="71"/>
      <x:c r="AK20" s="146"/>
      <x:c r="AL20" s="150"/>
      <x:c r="AM20" s="1029"/>
      <x:c r="AN20" s="1030"/>
      <x:c r="AO20" s="1030"/>
      <x:c r="AP20" s="1030"/>
      <x:c r="AQ20" s="1030"/>
      <x:c r="AR20" s="1031"/>
      <x:c r="AS20" s="286" t="s">
        <x:v>43</x:v>
      </x:c>
      <x:c r="AT20" s="286" t="s">
        <x:v>145</x:v>
      </x:c>
    </x:row>
    <x:row r="21" spans="1:46" ht="17.449999999999999" customHeight="1">
      <x:c r="A21" s="1116"/>
      <x:c r="B21" s="214" t="s">
        <x:v>217</x:v>
      </x:c>
      <x:c r="C21" s="168" t="s">
        <x:v>172</x:v>
      </x:c>
      <x:c r="D21" s="169" t="s">
        <x:v>378</x:v>
      </x:c>
      <x:c r="E21" s="47"/>
      <x:c r="F21" s="47"/>
      <x:c r="G21" s="47"/>
      <x:c r="H21" s="47"/>
      <x:c r="I21" s="90"/>
      <x:c r="J21" s="72"/>
      <x:c r="K21" s="72"/>
      <x:c r="L21" s="72"/>
      <x:c r="M21" s="443" t="s">
        <x:v>272</x:v>
      </x:c>
      <x:c r="N21" s="90"/>
      <x:c r="O21" s="306" t="s">
        <x:v>167</x:v>
      </x:c>
      <x:c r="P21" s="72"/>
      <x:c r="Q21" s="306" t="s">
        <x:v>171</x:v>
      </x:c>
      <x:c r="R21" s="139"/>
      <x:c r="S21" s="292"/>
      <x:c r="T21" s="302"/>
      <x:c r="U21" s="302"/>
      <x:c r="V21" s="535" t="s">
        <x:v>119</x:v>
      </x:c>
      <x:c r="W21" s="139"/>
      <x:c r="X21" s="292"/>
      <x:c r="Y21" s="146"/>
      <x:c r="Z21" s="302"/>
      <x:c r="AA21" s="302"/>
      <x:c r="AB21" s="605" t="s">
        <x:v>73</x:v>
      </x:c>
      <x:c r="AC21" s="292"/>
      <x:c r="AD21" s="71"/>
      <x:c r="AE21" s="71"/>
      <x:c r="AF21" s="71"/>
      <x:c r="AG21" s="139"/>
      <x:c r="AH21" s="71"/>
      <x:c r="AI21" s="71"/>
      <x:c r="AJ21" s="71"/>
      <x:c r="AK21" s="146"/>
      <x:c r="AL21" s="150"/>
      <x:c r="AM21" s="1102" t="s">
        <x:v>417</x:v>
      </x:c>
      <x:c r="AN21" s="1103"/>
      <x:c r="AO21" s="1103"/>
      <x:c r="AP21" s="1103"/>
      <x:c r="AQ21" s="1103"/>
      <x:c r="AR21" s="1104"/>
      <x:c r="AS21" s="286" t="s">
        <x:v>43</x:v>
      </x:c>
      <x:c r="AT21" s="286"/>
    </x:row>
    <x:row r="22" spans="1:47" ht="17.449999999999999" customHeight="1">
      <x:c r="A22" s="1116"/>
      <x:c r="B22" s="72"/>
      <x:c r="C22" s="72"/>
      <x:c r="D22" s="207"/>
      <x:c r="E22" s="47"/>
      <x:c r="F22" s="47"/>
      <x:c r="G22" s="47"/>
      <x:c r="H22" s="47"/>
      <x:c r="I22" s="275"/>
      <x:c r="J22" s="306"/>
      <x:c r="K22" s="306"/>
      <x:c r="L22" s="306"/>
      <x:c r="M22" s="135"/>
      <x:c r="N22" s="275"/>
      <x:c r="O22" s="306"/>
      <x:c r="P22" s="306"/>
      <x:c r="Q22" s="306"/>
      <x:c r="R22" s="139"/>
      <x:c r="S22" s="686"/>
      <x:c r="T22" s="385"/>
      <x:c r="U22" s="385"/>
      <x:c r="V22" s="385"/>
      <x:c r="W22" s="678"/>
      <x:c r="X22" s="686"/>
      <x:c r="Y22" s="385"/>
      <x:c r="Z22" s="385"/>
      <x:c r="AA22" s="385"/>
      <x:c r="AB22" s="678"/>
      <x:c r="AC22" s="292" t="s">
        <x:v>393</x:v>
      </x:c>
      <x:c r="AD22" s="71"/>
      <x:c r="AE22" s="71"/>
      <x:c r="AF22" s="71"/>
      <x:c r="AG22" s="139"/>
      <x:c r="AH22" s="71"/>
      <x:c r="AI22" s="71"/>
      <x:c r="AJ22" s="71"/>
      <x:c r="AK22" s="146"/>
      <x:c r="AL22" s="150"/>
      <x:c r="AM22" s="1102"/>
      <x:c r="AN22" s="1103"/>
      <x:c r="AO22" s="1103"/>
      <x:c r="AP22" s="1103"/>
      <x:c r="AQ22" s="1103"/>
      <x:c r="AR22" s="1104"/>
      <x:c r="AS22" s="286"/>
      <x:c r="AT22" s="286"/>
      <x:c r="AU22" s="286"/>
    </x:row>
    <x:row r="23" spans="1:46" s="38" customFormat="1" ht="17.449999999999999" customHeight="1">
      <x:c r="A23" s="1183"/>
      <x:c r="B23" s="214"/>
      <x:c r="C23" s="168"/>
      <x:c r="D23" s="169"/>
      <x:c r="E23" s="47"/>
      <x:c r="F23" s="47"/>
      <x:c r="G23" s="47"/>
      <x:c r="H23" s="47"/>
      <x:c r="I23" s="90"/>
      <x:c r="J23" s="72"/>
      <x:c r="K23" s="72"/>
      <x:c r="L23" s="72"/>
      <x:c r="M23" s="443"/>
      <x:c r="N23" s="90"/>
      <x:c r="O23" s="306"/>
      <x:c r="P23" s="72"/>
      <x:c r="Q23" s="306"/>
      <x:c r="R23" s="139"/>
      <x:c r="S23" s="686"/>
      <x:c r="T23" s="385"/>
      <x:c r="U23" s="385"/>
      <x:c r="V23" s="731"/>
      <x:c r="W23" s="678"/>
      <x:c r="X23" s="686"/>
      <x:c r="Y23" s="385"/>
      <x:c r="Z23" s="385"/>
      <x:c r="AA23" s="385"/>
      <x:c r="AB23" s="678"/>
      <x:c r="AC23" s="292" t="s">
        <x:v>281</x:v>
      </x:c>
      <x:c r="AD23" s="71"/>
      <x:c r="AE23" s="71"/>
      <x:c r="AF23" s="71"/>
      <x:c r="AG23" s="139"/>
      <x:c r="AH23" s="71"/>
      <x:c r="AI23" s="71"/>
      <x:c r="AJ23" s="71"/>
      <x:c r="AK23" s="146"/>
      <x:c r="AL23" s="150"/>
      <x:c r="AM23" s="1102"/>
      <x:c r="AN23" s="1103"/>
      <x:c r="AO23" s="1103"/>
      <x:c r="AP23" s="1103"/>
      <x:c r="AQ23" s="1103"/>
      <x:c r="AR23" s="1104"/>
      <x:c r="AS23" s="286"/>
      <x:c r="AT23" s="286"/>
    </x:row>
    <x:row r="24" spans="1:45" s="38" customFormat="1" ht="17.449999999999999" customHeight="1">
      <x:c r="A24" s="1183"/>
      <x:c r="B24" s="72"/>
      <x:c r="C24" s="72"/>
      <x:c r="D24" s="207"/>
      <x:c r="E24" s="56"/>
      <x:c r="F24" s="56"/>
      <x:c r="G24" s="56"/>
      <x:c r="H24" s="56"/>
      <x:c r="I24" s="92"/>
      <x:c r="J24" s="88"/>
      <x:c r="K24" s="88"/>
      <x:c r="L24" s="88"/>
      <x:c r="M24" s="258"/>
      <x:c r="N24" s="90"/>
      <x:c r="O24" s="72"/>
      <x:c r="P24" s="736"/>
      <x:c r="Q24" s="736"/>
      <x:c r="R24" s="139"/>
      <x:c r="S24" s="686"/>
      <x:c r="T24" s="385"/>
      <x:c r="U24" s="385"/>
      <x:c r="V24" s="385"/>
      <x:c r="W24" s="678"/>
      <x:c r="X24" s="686"/>
      <x:c r="Y24" s="385"/>
      <x:c r="Z24" s="385"/>
      <x:c r="AA24" s="385"/>
      <x:c r="AB24" s="678"/>
      <x:c r="AC24" s="120"/>
      <x:c r="AD24" s="71"/>
      <x:c r="AE24" s="71"/>
      <x:c r="AF24" s="71"/>
      <x:c r="AG24" s="139"/>
      <x:c r="AH24" s="71"/>
      <x:c r="AI24" s="71"/>
      <x:c r="AJ24" s="71"/>
      <x:c r="AK24" s="146"/>
      <x:c r="AL24" s="150"/>
      <x:c r="AM24" s="1099"/>
      <x:c r="AN24" s="1100"/>
      <x:c r="AO24" s="1100"/>
      <x:c r="AP24" s="1100"/>
      <x:c r="AQ24" s="1100"/>
      <x:c r="AR24" s="1101"/>
      <x:c r="AS24" s="4"/>
    </x:row>
    <x:row r="25" spans="1:45" s="5" customFormat="1" ht="17.449999999999999" customHeight="1">
      <x:c r="A25" s="1184"/>
      <x:c r="B25" s="61"/>
      <x:c r="C25" s="61"/>
      <x:c r="D25" s="883"/>
      <x:c r="E25" s="56"/>
      <x:c r="F25" s="56"/>
      <x:c r="G25" s="56"/>
      <x:c r="H25" s="56"/>
      <x:c r="I25" s="92"/>
      <x:c r="J25" s="88"/>
      <x:c r="K25" s="88"/>
      <x:c r="L25" s="88"/>
      <x:c r="M25" s="258"/>
      <x:c r="N25" s="91"/>
      <x:c r="O25" s="61"/>
      <x:c r="P25" s="884"/>
      <x:c r="Q25" s="884"/>
      <x:c r="R25" s="140"/>
      <x:c r="S25" s="382"/>
      <x:c r="T25" s="383"/>
      <x:c r="U25" s="383"/>
      <x:c r="V25" s="383"/>
      <x:c r="W25" s="384"/>
      <x:c r="X25" s="382"/>
      <x:c r="Y25" s="383"/>
      <x:c r="Z25" s="383"/>
      <x:c r="AA25" s="383"/>
      <x:c r="AB25" s="383"/>
      <x:c r="AC25" s="120"/>
      <x:c r="AD25" s="71"/>
      <x:c r="AE25" s="71"/>
      <x:c r="AF25" s="71"/>
      <x:c r="AG25" s="139"/>
      <x:c r="AH25" s="71"/>
      <x:c r="AI25" s="71"/>
      <x:c r="AJ25" s="71"/>
      <x:c r="AK25" s="146"/>
      <x:c r="AL25" s="150"/>
      <x:c r="AM25" s="1099"/>
      <x:c r="AN25" s="1100"/>
      <x:c r="AO25" s="1100"/>
      <x:c r="AP25" s="1100"/>
      <x:c r="AQ25" s="1100"/>
      <x:c r="AR25" s="1101"/>
      <x:c r="AS25" s="4"/>
    </x:row>
    <x:row r="26" spans="1:45" s="38" customFormat="1" ht="17.449999999999999" customHeight="1">
      <x:c r="A26" s="1185"/>
      <x:c r="B26" s="88"/>
      <x:c r="C26" s="88"/>
      <x:c r="D26" s="289"/>
      <x:c r="E26" s="56"/>
      <x:c r="F26" s="56"/>
      <x:c r="G26" s="56"/>
      <x:c r="H26" s="56"/>
      <x:c r="I26" s="92"/>
      <x:c r="J26" s="88"/>
      <x:c r="K26" s="88"/>
      <x:c r="L26" s="88"/>
      <x:c r="M26" s="258"/>
      <x:c r="N26" s="92"/>
      <x:c r="O26" s="88"/>
      <x:c r="P26" s="737"/>
      <x:c r="Q26" s="737"/>
      <x:c r="R26" s="137"/>
      <x:c r="S26" s="387"/>
      <x:c r="T26" s="388"/>
      <x:c r="U26" s="388"/>
      <x:c r="V26" s="388"/>
      <x:c r="W26" s="389"/>
      <x:c r="X26" s="387"/>
      <x:c r="Y26" s="388"/>
      <x:c r="Z26" s="388"/>
      <x:c r="AA26" s="388"/>
      <x:c r="AB26" s="389"/>
      <x:c r="AC26" s="116"/>
      <x:c r="AD26" s="80"/>
      <x:c r="AE26" s="80"/>
      <x:c r="AF26" s="80"/>
      <x:c r="AG26" s="137"/>
      <x:c r="AH26" s="80"/>
      <x:c r="AI26" s="80"/>
      <x:c r="AJ26" s="80"/>
      <x:c r="AK26" s="148"/>
      <x:c r="AL26" s="152"/>
      <x:c r="AM26" s="1186"/>
      <x:c r="AN26" s="1187"/>
      <x:c r="AO26" s="1187"/>
      <x:c r="AP26" s="1187"/>
      <x:c r="AQ26" s="1187"/>
      <x:c r="AR26" s="1188"/>
      <x:c r="AS26" s="4"/>
    </x:row>
    <x:row r="27" spans="1:44">
      <x:c r="A27" s="54"/>
      <x:c r="B27" s="94"/>
      <x:c r="C27" s="74"/>
      <x:c r="D27" s="74"/>
      <x:c r="E27" s="74"/>
      <x:c r="F27" s="74"/>
      <x:c r="G27" s="74"/>
      <x:c r="H27" s="74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476"/>
      <x:c r="T27" s="667"/>
      <x:c r="U27" s="105"/>
      <x:c r="V27" s="105"/>
      <x:c r="W27" s="105"/>
      <x:c r="X27" s="105"/>
      <x:c r="Y27" s="105"/>
      <x:c r="Z27" s="105"/>
      <x:c r="AA27" s="105"/>
      <x:c r="AB27" s="105"/>
      <x:c r="AC27" s="105"/>
      <x:c r="AD27" s="105"/>
      <x:c r="AE27" s="105"/>
      <x:c r="AF27" s="105"/>
      <x:c r="AG27" s="105"/>
      <x:c r="AH27" s="105"/>
      <x:c r="AI27" s="105"/>
      <x:c r="AJ27" s="105"/>
      <x:c r="AK27" s="105"/>
      <x:c r="AL27" s="105"/>
      <x:c r="AM27" s="54"/>
      <x:c r="AN27" s="54"/>
      <x:c r="AO27" s="54"/>
      <x:c r="AP27" s="54"/>
      <x:c r="AQ27" s="54"/>
      <x:c r="AR27" s="54"/>
    </x:row>
    <x:row r="28" spans="1:46" ht="16.75">
      <x:c r="A28" s="1177" t="s">
        <x:v>146</x:v>
      </x:c>
      <x:c r="B28" s="206" t="s">
        <x:v>308</x:v>
      </x:c>
      <x:c r="C28" s="63" t="s">
        <x:v>172</x:v>
      </x:c>
      <x:c r="D28" s="204" t="s">
        <x:v>378</x:v>
      </x:c>
      <x:c r="E28" s="45"/>
      <x:c r="F28" s="45"/>
      <x:c r="G28" s="45"/>
      <x:c r="H28" s="45"/>
      <x:c r="I28" s="274"/>
      <x:c r="J28" s="307"/>
      <x:c r="K28" s="307"/>
      <x:c r="L28" s="307"/>
      <x:c r="M28" s="134"/>
      <x:c r="N28" s="444"/>
      <x:c r="O28" s="307"/>
      <x:c r="P28" s="307"/>
      <x:c r="Q28" s="593"/>
      <x:c r="R28" s="138"/>
      <x:c r="S28" s="665" t="s">
        <x:v>199</x:v>
      </x:c>
      <x:c r="T28" s="593" t="s">
        <x:v>226</x:v>
      </x:c>
      <x:c r="U28" s="593"/>
      <x:c r="V28" s="593"/>
      <x:c r="W28" s="138"/>
      <x:c r="X28" s="665"/>
      <x:c r="Y28" s="145"/>
      <x:c r="Z28" s="593"/>
      <x:c r="AA28" s="593"/>
      <x:c r="AB28" s="606" t="s">
        <x:v>63</x:v>
      </x:c>
      <x:c r="AC28" s="665"/>
      <x:c r="AD28" s="57"/>
      <x:c r="AE28" s="57"/>
      <x:c r="AF28" s="57"/>
      <x:c r="AG28" s="138"/>
      <x:c r="AH28" s="57"/>
      <x:c r="AI28" s="57"/>
      <x:c r="AJ28" s="57"/>
      <x:c r="AK28" s="145"/>
      <x:c r="AL28" s="149"/>
      <x:c r="AM28" s="1026" t="s">
        <x:v>6</x:v>
      </x:c>
      <x:c r="AN28" s="1027"/>
      <x:c r="AO28" s="1027"/>
      <x:c r="AP28" s="1027"/>
      <x:c r="AQ28" s="1027"/>
      <x:c r="AR28" s="1028"/>
      <x:c r="AS28" s="286" t="s">
        <x:v>43</x:v>
      </x:c>
      <x:c r="AT28" s="286"/>
    </x:row>
    <x:row r="29" spans="1:46">
      <x:c r="A29" s="1178"/>
      <x:c r="B29" s="201" t="s">
        <x:v>257</x:v>
      </x:c>
      <x:c r="C29" s="72" t="s">
        <x:v>237</x:v>
      </x:c>
      <x:c r="D29" s="126" t="s">
        <x:v>375</x:v>
      </x:c>
      <x:c r="E29" s="48"/>
      <x:c r="F29" s="48"/>
      <x:c r="G29" s="48"/>
      <x:c r="H29" s="48"/>
      <x:c r="I29" s="275"/>
      <x:c r="J29" s="306"/>
      <x:c r="K29" s="306"/>
      <x:c r="L29" s="306"/>
      <x:c r="M29" s="135"/>
      <x:c r="N29" s="288"/>
      <x:c r="O29" s="154"/>
      <x:c r="P29" s="154"/>
      <x:c r="Q29" s="146"/>
      <x:c r="R29" s="139"/>
      <x:c r="S29" s="292"/>
      <x:c r="T29" s="302"/>
      <x:c r="U29" s="302"/>
      <x:c r="V29" s="302"/>
      <x:c r="W29" s="139"/>
      <x:c r="X29" s="292"/>
      <x:c r="Y29" s="146"/>
      <x:c r="Z29" s="302"/>
      <x:c r="AA29" s="302"/>
      <x:c r="AB29" s="605" t="s">
        <x:v>63</x:v>
      </x:c>
      <x:c r="AC29" s="292"/>
      <x:c r="AD29" s="71"/>
      <x:c r="AE29" s="71"/>
      <x:c r="AF29" s="71"/>
      <x:c r="AG29" s="139"/>
      <x:c r="AH29" s="71"/>
      <x:c r="AI29" s="71"/>
      <x:c r="AJ29" s="71"/>
      <x:c r="AK29" s="146"/>
      <x:c r="AL29" s="150"/>
      <x:c r="AM29" s="1029"/>
      <x:c r="AN29" s="1030"/>
      <x:c r="AO29" s="1030"/>
      <x:c r="AP29" s="1030"/>
      <x:c r="AQ29" s="1030"/>
      <x:c r="AR29" s="1031"/>
      <x:c r="AS29" s="286" t="s">
        <x:v>43</x:v>
      </x:c>
      <x:c r="AT29" s="286" t="s">
        <x:v>145</x:v>
      </x:c>
    </x:row>
    <x:row r="30" spans="1:46" s="31" customFormat="1" ht="17.449999999999999" customHeight="1">
      <x:c r="A30" s="1179"/>
      <x:c r="B30" s="50" t="s">
        <x:v>314</x:v>
      </x:c>
      <x:c r="C30" s="50" t="s">
        <x:v>237</x:v>
      </x:c>
      <x:c r="D30" s="50" t="s">
        <x:v>375</x:v>
      </x:c>
      <x:c r="E30" s="47"/>
      <x:c r="F30" s="47"/>
      <x:c r="G30" s="47"/>
      <x:c r="H30" s="47"/>
      <x:c r="I30" s="277" t="s">
        <x:v>259</x:v>
      </x:c>
      <x:c r="J30" s="308" t="s">
        <x:v>64</x:v>
      </x:c>
      <x:c r="K30" s="308"/>
      <x:c r="L30" s="308"/>
      <x:c r="M30" s="136"/>
      <x:c r="N30" s="277"/>
      <x:c r="O30" s="308" t="s">
        <x:v>62</x:v>
      </x:c>
      <x:c r="P30" s="308" t="s">
        <x:v>55</x:v>
      </x:c>
      <x:c r="Q30" s="306"/>
      <x:c r="R30" s="140"/>
      <x:c r="S30" s="292"/>
      <x:c r="T30" s="535" t="s">
        <x:v>119</x:v>
      </x:c>
      <x:c r="U30" s="302"/>
      <x:c r="V30" s="302"/>
      <x:c r="W30" s="140"/>
      <x:c r="X30" s="862" t="s">
        <x:v>119</x:v>
      </x:c>
      <x:c r="Y30" s="146"/>
      <x:c r="Z30" s="302"/>
      <x:c r="AA30" s="357"/>
      <x:c r="AB30" s="605" t="s">
        <x:v>63</x:v>
      </x:c>
      <x:c r="AC30" s="356"/>
      <x:c r="AD30" s="77"/>
      <x:c r="AE30" s="77"/>
      <x:c r="AF30" s="77"/>
      <x:c r="AG30" s="115"/>
      <x:c r="AH30" s="77"/>
      <x:c r="AI30" s="77"/>
      <x:c r="AJ30" s="77"/>
      <x:c r="AK30" s="77"/>
      <x:c r="AL30" s="151"/>
      <x:c r="AM30" s="1032"/>
      <x:c r="AN30" s="1033"/>
      <x:c r="AO30" s="1033"/>
      <x:c r="AP30" s="1033"/>
      <x:c r="AQ30" s="1033"/>
      <x:c r="AR30" s="1034"/>
      <x:c r="AS30" s="286" t="s">
        <x:v>43</x:v>
      </x:c>
      <x:c r="AT30" s="286"/>
    </x:row>
    <x:row r="31" spans="1:46">
      <x:c r="A31" s="1178"/>
      <x:c r="B31" s="50" t="s">
        <x:v>242</x:v>
      </x:c>
      <x:c r="C31" s="50" t="s">
        <x:v>312</x:v>
      </x:c>
      <x:c r="D31" s="50" t="s">
        <x:v>378</x:v>
      </x:c>
      <x:c r="E31" s="79"/>
      <x:c r="F31" s="79"/>
      <x:c r="G31" s="79"/>
      <x:c r="H31" s="79"/>
      <x:c r="I31" s="292" t="s">
        <x:v>316</x:v>
      </x:c>
      <x:c r="J31" s="85"/>
      <x:c r="K31" s="85"/>
      <x:c r="L31" s="85"/>
      <x:c r="M31" s="135"/>
      <x:c r="N31" s="275" t="s">
        <x:v>277</x:v>
      </x:c>
      <x:c r="O31" s="591" t="s">
        <x:v>119</x:v>
      </x:c>
      <x:c r="P31" s="306"/>
      <x:c r="Q31" s="293"/>
      <x:c r="R31" s="139"/>
      <x:c r="S31" s="356" t="s">
        <x:v>323</x:v>
      </x:c>
      <x:c r="T31" s="357"/>
      <x:c r="U31" s="357"/>
      <x:c r="V31" s="357"/>
      <x:c r="W31" s="139"/>
      <x:c r="X31" s="861" t="s">
        <x:v>119</x:v>
      </x:c>
      <x:c r="Y31" s="146"/>
      <x:c r="Z31" s="357" t="s">
        <x:v>128</x:v>
      </x:c>
      <x:c r="AA31" s="302"/>
      <x:c r="AB31" s="605"/>
      <x:c r="AC31" s="292"/>
      <x:c r="AD31" s="71"/>
      <x:c r="AE31" s="71"/>
      <x:c r="AF31" s="71"/>
      <x:c r="AG31" s="139"/>
      <x:c r="AH31" s="71"/>
      <x:c r="AI31" s="71"/>
      <x:c r="AJ31" s="71"/>
      <x:c r="AK31" s="146"/>
      <x:c r="AL31" s="150"/>
      <x:c r="AM31" s="1029"/>
      <x:c r="AN31" s="1030"/>
      <x:c r="AO31" s="1030"/>
      <x:c r="AP31" s="1030"/>
      <x:c r="AQ31" s="1030"/>
      <x:c r="AR31" s="1031"/>
      <x:c r="AS31" s="286" t="s">
        <x:v>43</x:v>
      </x:c>
      <x:c r="AT31" s="286" t="s">
        <x:v>145</x:v>
      </x:c>
    </x:row>
    <x:row r="32" spans="1:46" s="5" customFormat="1">
      <x:c r="A32" s="1180"/>
      <x:c r="B32" s="50" t="s">
        <x:v>236</x:v>
      </x:c>
      <x:c r="C32" s="50" t="s">
        <x:v>312</x:v>
      </x:c>
      <x:c r="D32" s="50" t="s">
        <x:v>378</x:v>
      </x:c>
      <x:c r="E32" s="79"/>
      <x:c r="F32" s="79"/>
      <x:c r="G32" s="79"/>
      <x:c r="H32" s="79"/>
      <x:c r="I32" s="356"/>
      <x:c r="J32" s="61"/>
      <x:c r="K32" s="61"/>
      <x:c r="L32" s="61"/>
      <x:c r="M32" s="136"/>
      <x:c r="N32" s="277"/>
      <x:c r="O32" s="591"/>
      <x:c r="P32" s="308"/>
      <x:c r="Q32" s="293"/>
      <x:c r="R32" s="140"/>
      <x:c r="S32" s="356"/>
      <x:c r="T32" s="357"/>
      <x:c r="U32" s="357"/>
      <x:c r="V32" s="357"/>
      <x:c r="W32" s="140"/>
      <x:c r="X32" s="861" t="s">
        <x:v>130</x:v>
      </x:c>
      <x:c r="Y32" s="147"/>
      <x:c r="Z32" s="357"/>
      <x:c r="AA32" s="357"/>
      <x:c r="AB32" s="599"/>
      <x:c r="AC32" s="356"/>
      <x:c r="AD32" s="77"/>
      <x:c r="AE32" s="77"/>
      <x:c r="AF32" s="77" t="s">
        <x:v>303</x:v>
      </x:c>
      <x:c r="AG32" s="140"/>
      <x:c r="AH32" s="77"/>
      <x:c r="AI32" s="77"/>
      <x:c r="AJ32" s="77"/>
      <x:c r="AK32" s="147"/>
      <x:c r="AL32" s="151"/>
      <x:c r="AM32" s="1201" t="s">
        <x:v>418</x:v>
      </x:c>
      <x:c r="AN32" s="1202"/>
      <x:c r="AO32" s="1202"/>
      <x:c r="AP32" s="1202"/>
      <x:c r="AQ32" s="1202"/>
      <x:c r="AR32" s="1203"/>
      <x:c r="AS32" s="286" t="s">
        <x:v>43</x:v>
      </x:c>
      <x:c r="AT32" s="286" t="s">
        <x:v>145</x:v>
      </x:c>
    </x:row>
    <x:row r="33" spans="1:46" s="5" customFormat="1">
      <x:c r="A33" s="1181"/>
      <x:c r="B33" s="50"/>
      <x:c r="C33" s="50"/>
      <x:c r="D33" s="50"/>
      <x:c r="E33" s="79"/>
      <x:c r="F33" s="79"/>
      <x:c r="G33" s="79"/>
      <x:c r="H33" s="79"/>
      <x:c r="I33" s="356"/>
      <x:c r="J33" s="61"/>
      <x:c r="K33" s="61"/>
      <x:c r="L33" s="61"/>
      <x:c r="M33" s="136"/>
      <x:c r="N33" s="277"/>
      <x:c r="O33" s="591"/>
      <x:c r="P33" s="308"/>
      <x:c r="Q33" s="293"/>
      <x:c r="R33" s="140"/>
      <x:c r="S33" s="356"/>
      <x:c r="T33" s="357"/>
      <x:c r="U33" s="357"/>
      <x:c r="V33" s="357"/>
      <x:c r="W33" s="140"/>
      <x:c r="X33" s="861"/>
      <x:c r="Y33" s="147"/>
      <x:c r="Z33" s="357"/>
      <x:c r="AA33" s="77"/>
      <x:c r="AB33" s="115"/>
      <x:c r="AC33" s="114"/>
      <x:c r="AD33" s="77"/>
      <x:c r="AE33" s="77"/>
      <x:c r="AF33" s="77"/>
      <x:c r="AG33" s="140"/>
      <x:c r="AH33" s="77"/>
      <x:c r="AI33" s="77"/>
      <x:c r="AJ33" s="77"/>
      <x:c r="AK33" s="147"/>
      <x:c r="AL33" s="151"/>
      <x:c r="AM33" s="1029"/>
      <x:c r="AN33" s="1030"/>
      <x:c r="AO33" s="1030"/>
      <x:c r="AP33" s="1030"/>
      <x:c r="AQ33" s="1030"/>
      <x:c r="AR33" s="1031"/>
      <x:c r="AS33" s="286"/>
      <x:c r="AT33" s="286"/>
    </x:row>
    <x:row r="34" spans="1:44" ht="16.75">
      <x:c r="A34" s="1182"/>
      <x:c r="B34" s="73"/>
      <x:c r="C34" s="68"/>
      <x:c r="D34" s="68"/>
      <x:c r="E34" s="56"/>
      <x:c r="F34" s="56"/>
      <x:c r="G34" s="56"/>
      <x:c r="H34" s="56"/>
      <x:c r="I34" s="116"/>
      <x:c r="J34" s="80"/>
      <x:c r="K34" s="80"/>
      <x:c r="L34" s="80"/>
      <x:c r="M34" s="137"/>
      <x:c r="N34" s="116"/>
      <x:c r="O34" s="311" t="s">
        <x:v>308</x:v>
      </x:c>
      <x:c r="P34" s="80"/>
      <x:c r="Q34" s="311" t="s">
        <x:v>272</x:v>
      </x:c>
      <x:c r="R34" s="137"/>
      <x:c r="S34" s="116"/>
      <x:c r="T34" s="80"/>
      <x:c r="U34" s="80"/>
      <x:c r="V34" s="80"/>
      <x:c r="W34" s="137"/>
      <x:c r="X34" s="116"/>
      <x:c r="Y34" s="148"/>
      <x:c r="Z34" s="80"/>
      <x:c r="AA34" s="890" t="s">
        <x:v>395</x:v>
      </x:c>
      <x:c r="AB34" s="117"/>
      <x:c r="AC34" s="116"/>
      <x:c r="AD34" s="80"/>
      <x:c r="AE34" s="80"/>
      <x:c r="AF34" s="80"/>
      <x:c r="AG34" s="137"/>
      <x:c r="AH34" s="80"/>
      <x:c r="AI34" s="80"/>
      <x:c r="AJ34" s="80"/>
      <x:c r="AK34" s="148"/>
      <x:c r="AL34" s="152"/>
      <x:c r="AM34" s="1035"/>
      <x:c r="AN34" s="1036"/>
      <x:c r="AO34" s="1036"/>
      <x:c r="AP34" s="1036"/>
      <x:c r="AQ34" s="1036"/>
      <x:c r="AR34" s="1037"/>
    </x:row>
    <x:row r="35" spans="1:44" ht="16.75">
      <x:c r="A35" s="54"/>
      <x:c r="B35" s="234"/>
      <x:c r="C35" s="235"/>
      <x:c r="D35" s="235"/>
      <x:c r="E35" s="235"/>
      <x:c r="F35" s="235"/>
      <x:c r="G35" s="235"/>
      <x:c r="H35" s="235"/>
      <x:c r="I35" s="236"/>
      <x:c r="J35" s="236"/>
      <x:c r="K35" s="236"/>
      <x:c r="L35" s="236"/>
      <x:c r="M35" s="236"/>
      <x:c r="N35" s="236"/>
      <x:c r="O35" s="361" t="s">
        <x:v>372</x:v>
      </x:c>
      <x:c r="P35" s="236"/>
      <x:c r="Q35" s="236"/>
      <x:c r="R35" s="236"/>
      <x:c r="S35" s="236"/>
      <x:c r="T35" s="236"/>
      <x:c r="U35" s="236"/>
      <x:c r="V35" s="236"/>
      <x:c r="W35" s="236"/>
      <x:c r="X35" s="236"/>
      <x:c r="Y35" s="236"/>
      <x:c r="Z35" s="236"/>
      <x:c r="AA35" s="236"/>
      <x:c r="AB35" s="236"/>
      <x:c r="AC35" s="236"/>
      <x:c r="AD35" s="236"/>
      <x:c r="AE35" s="236"/>
      <x:c r="AF35" s="236"/>
      <x:c r="AG35" s="236"/>
      <x:c r="AH35" s="236"/>
      <x:c r="AI35" s="236"/>
      <x:c r="AJ35" s="236"/>
      <x:c r="AK35" s="236"/>
      <x:c r="AL35" s="236"/>
      <x:c r="AM35" s="237"/>
      <x:c r="AN35" s="237"/>
      <x:c r="AO35" s="237"/>
      <x:c r="AP35" s="237"/>
      <x:c r="AQ35" s="237"/>
      <x:c r="AR35" s="237"/>
    </x:row>
    <x:row r="36" spans="1:46" s="12" customFormat="1" ht="16.5" customHeight="1">
      <x:c r="A36" s="1121" t="s">
        <x:v>39</x:v>
      </x:c>
      <x:c r="B36" s="72" t="s">
        <x:v>216</x:v>
      </x:c>
      <x:c r="C36" s="71" t="s">
        <x:v>367</x:v>
      </x:c>
      <x:c r="D36" s="166" t="s">
        <x:v>378</x:v>
      </x:c>
      <x:c r="E36" s="240"/>
      <x:c r="F36" s="49"/>
      <x:c r="G36" s="49"/>
      <x:c r="H36" s="49"/>
      <x:c r="I36" s="116"/>
      <x:c r="J36" s="80"/>
      <x:c r="K36" s="80"/>
      <x:c r="L36" s="80"/>
      <x:c r="M36" s="117"/>
      <x:c r="N36" s="120"/>
      <x:c r="O36" s="71"/>
      <x:c r="P36" s="71"/>
      <x:c r="Q36" s="71"/>
      <x:c r="R36" s="139"/>
      <x:c r="S36" s="120"/>
      <x:c r="T36" s="71"/>
      <x:c r="U36" s="385"/>
      <x:c r="V36" s="385"/>
      <x:c r="W36" s="139"/>
      <x:c r="X36" s="292" t="s">
        <x:v>323</x:v>
      </x:c>
      <x:c r="Y36" s="146"/>
      <x:c r="Z36" s="302"/>
      <x:c r="AA36" s="302"/>
      <x:c r="AB36" s="605" t="s">
        <x:v>110</x:v>
      </x:c>
      <x:c r="AC36" s="292"/>
      <x:c r="AD36" s="71"/>
      <x:c r="AE36" s="71"/>
      <x:c r="AF36" s="71"/>
      <x:c r="AG36" s="139"/>
      <x:c r="AH36" s="71"/>
      <x:c r="AI36" s="71"/>
      <x:c r="AJ36" s="71"/>
      <x:c r="AK36" s="71"/>
      <x:c r="AL36" s="102"/>
      <x:c r="AM36" s="1135"/>
      <x:c r="AN36" s="1136"/>
      <x:c r="AO36" s="1136"/>
      <x:c r="AP36" s="1136"/>
      <x:c r="AQ36" s="1136"/>
      <x:c r="AR36" s="1137"/>
      <x:c r="AS36" s="286" t="s">
        <x:v>43</x:v>
      </x:c>
      <x:c r="AT36" s="286"/>
    </x:row>
    <x:row r="37" spans="1:46" ht="16.75">
      <x:c r="A37" s="1116"/>
      <x:c r="B37" s="72" t="s">
        <x:v>170</x:v>
      </x:c>
      <x:c r="C37" s="71" t="s">
        <x:v>312</x:v>
      </x:c>
      <x:c r="D37" s="166" t="s">
        <x:v>378</x:v>
      </x:c>
      <x:c r="E37" s="240"/>
      <x:c r="F37" s="49"/>
      <x:c r="G37" s="49"/>
      <x:c r="H37" s="49"/>
      <x:c r="I37" s="116"/>
      <x:c r="J37" s="80"/>
      <x:c r="K37" s="80"/>
      <x:c r="L37" s="80"/>
      <x:c r="M37" s="117"/>
      <x:c r="N37" s="120"/>
      <x:c r="O37" s="71"/>
      <x:c r="P37" s="71"/>
      <x:c r="Q37" s="71"/>
      <x:c r="R37" s="139"/>
      <x:c r="S37" s="120"/>
      <x:c r="T37" s="71"/>
      <x:c r="U37" s="71"/>
      <x:c r="V37" s="385"/>
      <x:c r="W37" s="139"/>
      <x:c r="X37" s="292" t="s">
        <x:v>323</x:v>
      </x:c>
      <x:c r="Y37" s="146"/>
      <x:c r="Z37" s="302"/>
      <x:c r="AA37" s="302"/>
      <x:c r="AB37" s="605" t="s">
        <x:v>110</x:v>
      </x:c>
      <x:c r="AC37" s="292"/>
      <x:c r="AD37" s="71"/>
      <x:c r="AE37" s="71"/>
      <x:c r="AF37" s="71"/>
      <x:c r="AG37" s="139"/>
      <x:c r="AH37" s="71"/>
      <x:c r="AI37" s="71"/>
      <x:c r="AJ37" s="71"/>
      <x:c r="AK37" s="71"/>
      <x:c r="AL37" s="102"/>
      <x:c r="AM37" s="1029"/>
      <x:c r="AN37" s="1030"/>
      <x:c r="AO37" s="1030"/>
      <x:c r="AP37" s="1030"/>
      <x:c r="AQ37" s="1030"/>
      <x:c r="AR37" s="1031"/>
      <x:c r="AS37" s="286" t="s">
        <x:v>43</x:v>
      </x:c>
      <x:c r="AT37" s="286"/>
    </x:row>
    <x:row r="38" spans="1:46">
      <x:c r="A38" s="1116"/>
      <x:c r="B38" s="53" t="s">
        <x:v>222</x:v>
      </x:c>
      <x:c r="C38" s="50" t="s">
        <x:v>184</x:v>
      </x:c>
      <x:c r="D38" s="50" t="s">
        <x:v>378</x:v>
      </x:c>
      <x:c r="E38" s="48"/>
      <x:c r="F38" s="48"/>
      <x:c r="G38" s="48"/>
      <x:c r="H38" s="48"/>
      <x:c r="I38" s="125"/>
      <x:c r="J38" s="85"/>
      <x:c r="K38" s="85"/>
      <x:c r="L38" s="85"/>
      <x:c r="M38" s="126"/>
      <x:c r="N38" s="90"/>
      <x:c r="O38" s="72"/>
      <x:c r="P38" s="72"/>
      <x:c r="Q38" s="72"/>
      <x:c r="R38" s="139"/>
      <x:c r="S38" s="120"/>
      <x:c r="T38" s="71"/>
      <x:c r="U38" s="71"/>
      <x:c r="V38" s="385"/>
      <x:c r="W38" s="139"/>
      <x:c r="X38" s="120"/>
      <x:c r="Y38" s="146"/>
      <x:c r="Z38" s="71"/>
      <x:c r="AA38" s="71"/>
      <x:c r="AB38" s="605" t="s">
        <x:v>323</x:v>
      </x:c>
      <x:c r="AC38" s="292"/>
      <x:c r="AD38" s="71"/>
      <x:c r="AE38" s="71"/>
      <x:c r="AF38" s="71"/>
      <x:c r="AG38" s="139"/>
      <x:c r="AH38" s="71"/>
      <x:c r="AI38" s="71"/>
      <x:c r="AJ38" s="71"/>
      <x:c r="AK38" s="146"/>
      <x:c r="AL38" s="150"/>
      <x:c r="AM38" s="1029" t="s">
        <x:v>20</x:v>
      </x:c>
      <x:c r="AN38" s="1030"/>
      <x:c r="AO38" s="1030"/>
      <x:c r="AP38" s="1030"/>
      <x:c r="AQ38" s="1030"/>
      <x:c r="AR38" s="1031"/>
      <x:c r="AS38" s="286" t="s">
        <x:v>43</x:v>
      </x:c>
      <x:c r="AT38" s="286" t="s">
        <x:v>145</x:v>
      </x:c>
    </x:row>
    <x:row r="39" spans="1:44">
      <x:c r="A39" s="1116"/>
      <x:c r="B39" s="72"/>
      <x:c r="C39" s="65"/>
      <x:c r="D39" s="66"/>
      <x:c r="E39" s="48"/>
      <x:c r="F39" s="48"/>
      <x:c r="G39" s="48"/>
      <x:c r="H39" s="48"/>
      <x:c r="I39" s="125"/>
      <x:c r="J39" s="85"/>
      <x:c r="K39" s="85"/>
      <x:c r="L39" s="85"/>
      <x:c r="M39" s="126"/>
      <x:c r="N39" s="90"/>
      <x:c r="O39" s="72"/>
      <x:c r="P39" s="72"/>
      <x:c r="Q39" s="72"/>
      <x:c r="R39" s="139"/>
      <x:c r="S39" s="120"/>
      <x:c r="T39" s="71"/>
      <x:c r="U39" s="71"/>
      <x:c r="V39" s="71"/>
      <x:c r="W39" s="139"/>
      <x:c r="X39" s="120"/>
      <x:c r="Y39" s="146"/>
      <x:c r="Z39" s="71"/>
      <x:c r="AA39" s="71"/>
      <x:c r="AB39" s="122"/>
      <x:c r="AC39" s="120"/>
      <x:c r="AD39" s="71"/>
      <x:c r="AE39" s="71"/>
      <x:c r="AF39" s="71"/>
      <x:c r="AG39" s="139"/>
      <x:c r="AH39" s="71"/>
      <x:c r="AI39" s="71"/>
      <x:c r="AJ39" s="71"/>
      <x:c r="AK39" s="146"/>
      <x:c r="AL39" s="150"/>
      <x:c r="AM39" s="1029"/>
      <x:c r="AN39" s="1030"/>
      <x:c r="AO39" s="1030"/>
      <x:c r="AP39" s="1030"/>
      <x:c r="AQ39" s="1030"/>
      <x:c r="AR39" s="1031"/>
    </x:row>
    <x:row r="40" spans="1:44">
      <x:c r="A40" s="1116"/>
      <x:c r="B40" s="53"/>
      <x:c r="C40" s="53"/>
      <x:c r="D40" s="67"/>
      <x:c r="E40" s="48"/>
      <x:c r="F40" s="48"/>
      <x:c r="G40" s="48"/>
      <x:c r="H40" s="48"/>
      <x:c r="I40" s="128"/>
      <x:c r="J40" s="86"/>
      <x:c r="K40" s="86"/>
      <x:c r="L40" s="86"/>
      <x:c r="M40" s="129"/>
      <x:c r="N40" s="91"/>
      <x:c r="O40" s="61"/>
      <x:c r="P40" s="61"/>
      <x:c r="Q40" s="111"/>
      <x:c r="R40" s="140"/>
      <x:c r="S40" s="114"/>
      <x:c r="T40" s="77"/>
      <x:c r="U40" s="77"/>
      <x:c r="V40" s="77"/>
      <x:c r="W40" s="140"/>
      <x:c r="X40" s="114"/>
      <x:c r="Y40" s="147"/>
      <x:c r="Z40" s="77"/>
      <x:c r="AA40" s="77"/>
      <x:c r="AB40" s="115"/>
      <x:c r="AC40" s="114"/>
      <x:c r="AD40" s="77"/>
      <x:c r="AE40" s="77"/>
      <x:c r="AF40" s="77"/>
      <x:c r="AG40" s="140"/>
      <x:c r="AH40" s="77"/>
      <x:c r="AI40" s="77"/>
      <x:c r="AJ40" s="77"/>
      <x:c r="AK40" s="147"/>
      <x:c r="AL40" s="151"/>
      <x:c r="AM40" s="1029"/>
      <x:c r="AN40" s="1030"/>
      <x:c r="AO40" s="1030"/>
      <x:c r="AP40" s="1030"/>
      <x:c r="AQ40" s="1030"/>
      <x:c r="AR40" s="1031"/>
    </x:row>
    <x:row r="41" spans="1:44">
      <x:c r="A41" s="1130"/>
      <x:c r="B41" s="50"/>
      <x:c r="C41" s="42"/>
      <x:c r="D41" s="42"/>
      <x:c r="E41" s="47"/>
      <x:c r="F41" s="47"/>
      <x:c r="G41" s="47"/>
      <x:c r="H41" s="47"/>
      <x:c r="I41" s="114"/>
      <x:c r="J41" s="77"/>
      <x:c r="K41" s="77"/>
      <x:c r="L41" s="77"/>
      <x:c r="M41" s="115"/>
      <x:c r="N41" s="114"/>
      <x:c r="O41" s="77"/>
      <x:c r="P41" s="77"/>
      <x:c r="Q41" s="77"/>
      <x:c r="R41" s="140"/>
      <x:c r="S41" s="114"/>
      <x:c r="T41" s="77"/>
      <x:c r="U41" s="77"/>
      <x:c r="V41" s="77"/>
      <x:c r="W41" s="140"/>
      <x:c r="X41" s="114"/>
      <x:c r="Y41" s="147"/>
      <x:c r="Z41" s="77"/>
      <x:c r="AA41" s="77"/>
      <x:c r="AB41" s="115"/>
      <x:c r="AC41" s="114"/>
      <x:c r="AD41" s="77"/>
      <x:c r="AE41" s="77"/>
      <x:c r="AF41" s="77"/>
      <x:c r="AG41" s="140"/>
      <x:c r="AH41" s="77"/>
      <x:c r="AI41" s="77"/>
      <x:c r="AJ41" s="77"/>
      <x:c r="AK41" s="147"/>
      <x:c r="AL41" s="151"/>
      <x:c r="AM41" s="1174"/>
      <x:c r="AN41" s="1175"/>
      <x:c r="AO41" s="1175"/>
      <x:c r="AP41" s="1175"/>
      <x:c r="AQ41" s="1175"/>
      <x:c r="AR41" s="1176"/>
    </x:row>
    <x:row r="42" spans="1:46" s="10" customFormat="1" ht="17.149999999999999">
      <x:c r="A42" s="359" t="s">
        <x:v>311</x:v>
      </x:c>
      <x:c r="B42" s="835" t="s">
        <x:v>185</x:v>
      </x:c>
      <x:c r="C42" s="699" t="s">
        <x:v>367</x:v>
      </x:c>
      <x:c r="D42" s="836" t="s">
        <x:v>378</x:v>
      </x:c>
      <x:c r="E42" s="837"/>
      <x:c r="F42" s="785"/>
      <x:c r="G42" s="785"/>
      <x:c r="H42" s="838"/>
      <x:c r="I42" s="523"/>
      <x:c r="J42" s="524"/>
      <x:c r="K42" s="525" t="s">
        <x:v>84</x:v>
      </x:c>
      <x:c r="L42" s="526" t="s">
        <x:v>123</x:v>
      </x:c>
      <x:c r="M42" s="527"/>
      <x:c r="N42" s="839"/>
      <x:c r="O42" s="701"/>
      <x:c r="P42" s="701" t="s">
        <x:v>334</x:v>
      </x:c>
      <x:c r="Q42" s="701"/>
      <x:c r="R42" s="840"/>
      <x:c r="S42" s="839"/>
      <x:c r="T42" s="701"/>
      <x:c r="U42" s="701"/>
      <x:c r="V42" s="702" t="s">
        <x:v>323</x:v>
      </x:c>
      <x:c r="W42" s="840"/>
      <x:c r="X42" s="863"/>
      <x:c r="Y42" s="701"/>
      <x:c r="Z42" s="702"/>
      <x:c r="AA42" s="702"/>
      <x:c r="AB42" s="840"/>
      <x:c r="AC42" s="863"/>
      <x:c r="AD42" s="704"/>
      <x:c r="AE42" s="704"/>
      <x:c r="AF42" s="704"/>
      <x:c r="AG42" s="840"/>
      <x:c r="AH42" s="841"/>
      <x:c r="AI42" s="704"/>
      <x:c r="AJ42" s="704"/>
      <x:c r="AK42" s="704"/>
      <x:c r="AL42" s="842"/>
      <x:c r="AM42" s="1198"/>
      <x:c r="AN42" s="1199"/>
      <x:c r="AO42" s="1199"/>
      <x:c r="AP42" s="1199"/>
      <x:c r="AQ42" s="1199"/>
      <x:c r="AR42" s="1200"/>
      <x:c r="AS42" s="286" t="s">
        <x:v>43</x:v>
      </x:c>
      <x:c r="AT42" s="286" t="s">
        <x:v>145</x:v>
      </x:c>
    </x:row>
    <x:row r="43" spans="1:44">
      <x:c r="A43" s="54"/>
      <x:c r="B43" s="94"/>
      <x:c r="C43" s="74"/>
      <x:c r="D43" s="74"/>
      <x:c r="E43" s="74"/>
      <x:c r="F43" s="74"/>
      <x:c r="G43" s="74"/>
      <x:c r="H43" s="74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  <x:c r="V43" s="105"/>
      <x:c r="W43" s="105"/>
      <x:c r="X43" s="105"/>
      <x:c r="Y43" s="105"/>
      <x:c r="Z43" s="105"/>
      <x:c r="AA43" s="105"/>
      <x:c r="AB43" s="105"/>
      <x:c r="AC43" s="105"/>
      <x:c r="AD43" s="105"/>
      <x:c r="AE43" s="105"/>
      <x:c r="AF43" s="105"/>
      <x:c r="AG43" s="105"/>
      <x:c r="AH43" s="105"/>
      <x:c r="AI43" s="105"/>
      <x:c r="AJ43" s="105"/>
      <x:c r="AK43" s="105"/>
      <x:c r="AL43" s="105"/>
      <x:c r="AM43" s="54"/>
      <x:c r="AN43" s="54"/>
      <x:c r="AO43" s="54"/>
      <x:c r="AP43" s="54"/>
      <x:c r="AQ43" s="54"/>
      <x:c r="AR43" s="54"/>
    </x:row>
    <x:row r="44" spans="1:44" ht="16.75">
      <x:c r="A44" s="1115">
        <x:v>0.29166666666666669</x:v>
      </x:c>
      <x:c r="B44" s="55"/>
      <x:c r="C44" s="57"/>
      <x:c r="D44" s="59"/>
      <x:c r="E44" s="45"/>
      <x:c r="F44" s="45"/>
      <x:c r="G44" s="45"/>
      <x:c r="H44" s="45"/>
      <x:c r="I44" s="123"/>
      <x:c r="J44" s="58"/>
      <x:c r="K44" s="58"/>
      <x:c r="L44" s="58"/>
      <x:c r="M44" s="124"/>
      <x:c r="N44" s="127"/>
      <x:c r="O44" s="55"/>
      <x:c r="P44" s="55"/>
      <x:c r="Q44" s="57"/>
      <x:c r="R44" s="138"/>
      <x:c r="S44" s="119"/>
      <x:c r="T44" s="57"/>
      <x:c r="U44" s="57"/>
      <x:c r="V44" s="57"/>
      <x:c r="W44" s="138"/>
      <x:c r="X44" s="119"/>
      <x:c r="Y44" s="145"/>
      <x:c r="Z44" s="57"/>
      <x:c r="AA44" s="57"/>
      <x:c r="AB44" s="121"/>
      <x:c r="AC44" s="119"/>
      <x:c r="AD44" s="57"/>
      <x:c r="AE44" s="57"/>
      <x:c r="AF44" s="57"/>
      <x:c r="AG44" s="138"/>
      <x:c r="AH44" s="57"/>
      <x:c r="AI44" s="57"/>
      <x:c r="AJ44" s="57"/>
      <x:c r="AK44" s="145"/>
      <x:c r="AL44" s="149"/>
      <x:c r="AM44" s="1026"/>
      <x:c r="AN44" s="1027"/>
      <x:c r="AO44" s="1027"/>
      <x:c r="AP44" s="1027"/>
      <x:c r="AQ44" s="1027"/>
      <x:c r="AR44" s="1028"/>
    </x:row>
    <x:row r="45" spans="1:44">
      <x:c r="A45" s="1116"/>
      <x:c r="B45" s="72"/>
      <x:c r="C45" s="71"/>
      <x:c r="D45" s="71"/>
      <x:c r="E45" s="52"/>
      <x:c r="F45" s="52"/>
      <x:c r="G45" s="52"/>
      <x:c r="H45" s="52"/>
      <x:c r="I45" s="125"/>
      <x:c r="J45" s="85"/>
      <x:c r="K45" s="85"/>
      <x:c r="L45" s="85"/>
      <x:c r="M45" s="126"/>
      <x:c r="N45" s="90"/>
      <x:c r="O45" s="72"/>
      <x:c r="P45" s="72"/>
      <x:c r="Q45" s="71"/>
      <x:c r="R45" s="139"/>
      <x:c r="S45" s="120"/>
      <x:c r="T45" s="71"/>
      <x:c r="U45" s="71"/>
      <x:c r="V45" s="71"/>
      <x:c r="W45" s="139"/>
      <x:c r="X45" s="120"/>
      <x:c r="Y45" s="146"/>
      <x:c r="Z45" s="71"/>
      <x:c r="AA45" s="71"/>
      <x:c r="AB45" s="122"/>
      <x:c r="AC45" s="120"/>
      <x:c r="AD45" s="71"/>
      <x:c r="AE45" s="71"/>
      <x:c r="AF45" s="71"/>
      <x:c r="AG45" s="139"/>
      <x:c r="AH45" s="71"/>
      <x:c r="AI45" s="71"/>
      <x:c r="AJ45" s="71"/>
      <x:c r="AK45" s="146"/>
      <x:c r="AL45" s="150"/>
      <x:c r="AM45" s="1029"/>
      <x:c r="AN45" s="1030"/>
      <x:c r="AO45" s="1030"/>
      <x:c r="AP45" s="1030"/>
      <x:c r="AQ45" s="1030"/>
      <x:c r="AR45" s="1031"/>
    </x:row>
    <x:row r="46" spans="1:44">
      <x:c r="A46" s="1116"/>
      <x:c r="B46" s="72"/>
      <x:c r="C46" s="71"/>
      <x:c r="D46" s="76"/>
      <x:c r="E46" s="52"/>
      <x:c r="F46" s="52"/>
      <x:c r="G46" s="52"/>
      <x:c r="H46" s="52"/>
      <x:c r="I46" s="125"/>
      <x:c r="J46" s="85"/>
      <x:c r="K46" s="85"/>
      <x:c r="L46" s="85"/>
      <x:c r="M46" s="126"/>
      <x:c r="N46" s="90"/>
      <x:c r="O46" s="72"/>
      <x:c r="P46" s="72"/>
      <x:c r="Q46" s="72"/>
      <x:c r="R46" s="139"/>
      <x:c r="S46" s="120"/>
      <x:c r="T46" s="71"/>
      <x:c r="U46" s="71"/>
      <x:c r="V46" s="71"/>
      <x:c r="W46" s="139"/>
      <x:c r="X46" s="120"/>
      <x:c r="Y46" s="146"/>
      <x:c r="Z46" s="71"/>
      <x:c r="AA46" s="71"/>
      <x:c r="AB46" s="122"/>
      <x:c r="AC46" s="120"/>
      <x:c r="AD46" s="71"/>
      <x:c r="AE46" s="71"/>
      <x:c r="AF46" s="71"/>
      <x:c r="AG46" s="139"/>
      <x:c r="AH46" s="71"/>
      <x:c r="AI46" s="71"/>
      <x:c r="AJ46" s="71"/>
      <x:c r="AK46" s="146"/>
      <x:c r="AL46" s="150"/>
      <x:c r="AM46" s="1029"/>
      <x:c r="AN46" s="1030"/>
      <x:c r="AO46" s="1030"/>
      <x:c r="AP46" s="1030"/>
      <x:c r="AQ46" s="1030"/>
      <x:c r="AR46" s="1031"/>
    </x:row>
    <x:row r="47" spans="1:44">
      <x:c r="A47" s="1116"/>
      <x:c r="B47" s="72"/>
      <x:c r="C47" s="77"/>
      <x:c r="D47" s="78"/>
      <x:c r="E47" s="79"/>
      <x:c r="F47" s="79"/>
      <x:c r="G47" s="79"/>
      <x:c r="H47" s="79"/>
      <x:c r="I47" s="125"/>
      <x:c r="J47" s="85"/>
      <x:c r="K47" s="85"/>
      <x:c r="L47" s="85"/>
      <x:c r="M47" s="126"/>
      <x:c r="N47" s="90"/>
      <x:c r="O47" s="72"/>
      <x:c r="P47" s="72"/>
      <x:c r="Q47" s="72"/>
      <x:c r="R47" s="139"/>
      <x:c r="S47" s="120"/>
      <x:c r="T47" s="71"/>
      <x:c r="U47" s="71"/>
      <x:c r="V47" s="71"/>
      <x:c r="W47" s="139"/>
      <x:c r="X47" s="120"/>
      <x:c r="Y47" s="146"/>
      <x:c r="Z47" s="71"/>
      <x:c r="AA47" s="71"/>
      <x:c r="AB47" s="122"/>
      <x:c r="AC47" s="120"/>
      <x:c r="AD47" s="71"/>
      <x:c r="AE47" s="71"/>
      <x:c r="AF47" s="71"/>
      <x:c r="AG47" s="139"/>
      <x:c r="AH47" s="71"/>
      <x:c r="AI47" s="71"/>
      <x:c r="AJ47" s="71"/>
      <x:c r="AK47" s="146"/>
      <x:c r="AL47" s="150"/>
      <x:c r="AM47" s="1029"/>
      <x:c r="AN47" s="1030"/>
      <x:c r="AO47" s="1030"/>
      <x:c r="AP47" s="1030"/>
      <x:c r="AQ47" s="1030"/>
      <x:c r="AR47" s="1031"/>
    </x:row>
    <x:row r="48" spans="1:44">
      <x:c r="A48" s="1116"/>
      <x:c r="B48" s="72"/>
      <x:c r="C48" s="77"/>
      <x:c r="D48" s="78"/>
      <x:c r="E48" s="79"/>
      <x:c r="F48" s="79"/>
      <x:c r="G48" s="79"/>
      <x:c r="H48" s="79"/>
      <x:c r="I48" s="128"/>
      <x:c r="J48" s="86"/>
      <x:c r="K48" s="86"/>
      <x:c r="L48" s="86"/>
      <x:c r="M48" s="129"/>
      <x:c r="N48" s="91"/>
      <x:c r="O48" s="61"/>
      <x:c r="P48" s="61"/>
      <x:c r="Q48" s="111"/>
      <x:c r="R48" s="140"/>
      <x:c r="S48" s="114"/>
      <x:c r="T48" s="77"/>
      <x:c r="U48" s="77"/>
      <x:c r="V48" s="77"/>
      <x:c r="W48" s="140"/>
      <x:c r="X48" s="114"/>
      <x:c r="Y48" s="147"/>
      <x:c r="Z48" s="77"/>
      <x:c r="AA48" s="77"/>
      <x:c r="AB48" s="115"/>
      <x:c r="AC48" s="114"/>
      <x:c r="AD48" s="77"/>
      <x:c r="AE48" s="77"/>
      <x:c r="AF48" s="77"/>
      <x:c r="AG48" s="140"/>
      <x:c r="AH48" s="77"/>
      <x:c r="AI48" s="77"/>
      <x:c r="AJ48" s="77"/>
      <x:c r="AK48" s="147"/>
      <x:c r="AL48" s="151"/>
      <x:c r="AM48" s="1032"/>
      <x:c r="AN48" s="1033"/>
      <x:c r="AO48" s="1033"/>
      <x:c r="AP48" s="1033"/>
      <x:c r="AQ48" s="1033"/>
      <x:c r="AR48" s="1034"/>
    </x:row>
    <x:row r="49" spans="1:44" ht="16.75">
      <x:c r="A49" s="1117"/>
      <x:c r="B49" s="88"/>
      <x:c r="C49" s="80"/>
      <x:c r="D49" s="81"/>
      <x:c r="E49" s="49"/>
      <x:c r="F49" s="49"/>
      <x:c r="G49" s="49"/>
      <x:c r="H49" s="49"/>
      <x:c r="I49" s="116"/>
      <x:c r="J49" s="80"/>
      <x:c r="K49" s="80"/>
      <x:c r="L49" s="80"/>
      <x:c r="M49" s="117"/>
      <x:c r="N49" s="116"/>
      <x:c r="O49" s="80"/>
      <x:c r="P49" s="80"/>
      <x:c r="Q49" s="80"/>
      <x:c r="R49" s="137"/>
      <x:c r="S49" s="116"/>
      <x:c r="T49" s="80"/>
      <x:c r="U49" s="80"/>
      <x:c r="V49" s="80"/>
      <x:c r="W49" s="137"/>
      <x:c r="X49" s="116"/>
      <x:c r="Y49" s="148"/>
      <x:c r="Z49" s="80"/>
      <x:c r="AA49" s="80"/>
      <x:c r="AB49" s="117"/>
      <x:c r="AC49" s="116"/>
      <x:c r="AD49" s="80"/>
      <x:c r="AE49" s="80"/>
      <x:c r="AF49" s="80"/>
      <x:c r="AG49" s="137"/>
      <x:c r="AH49" s="80"/>
      <x:c r="AI49" s="80"/>
      <x:c r="AJ49" s="80"/>
      <x:c r="AK49" s="148"/>
      <x:c r="AL49" s="152"/>
      <x:c r="AM49" s="1035"/>
      <x:c r="AN49" s="1036"/>
      <x:c r="AO49" s="1036"/>
      <x:c r="AP49" s="1036"/>
      <x:c r="AQ49" s="1036"/>
      <x:c r="AR49" s="1037"/>
    </x:row>
    <x:row r="50" spans="1:44">
      <x:c r="A50" s="54"/>
      <x:c r="B50" s="83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7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</x:row>
    <x:row r="51" spans="1:44">
      <x:c r="A51" s="1021" t="s">
        <x:v>189</x:v>
      </x:c>
      <x:c r="B51" s="1021">
        <x:f>COUNTA(B6:$B$49)</x:f>
        <x:v>16</x:v>
      </x:c>
      <x:c r="C51" s="43"/>
      <x:c r="D51" s="1021"/>
      <x:c r="E51" s="1021">
        <x:f>COUNTIF(E4:E49,"=y")</x:f>
        <x:v>0</x:v>
      </x:c>
      <x:c r="F51" s="1021">
        <x:f>COUNTIF(F4:F49,"=y")</x:f>
        <x:v>0</x:v>
      </x:c>
      <x:c r="G51" s="1021">
        <x:f>COUNTIF(G4:G49,"=y")</x:f>
        <x:v>0</x:v>
      </x:c>
      <x:c r="H51" s="1021">
        <x:f>COUNTIF(H4:H49,"=y")</x:f>
        <x:v>0</x:v>
      </x:c>
      <x:c r="I51" s="1020"/>
      <x:c r="J51" s="1020"/>
      <x:c r="K51" s="1020"/>
      <x:c r="L51" s="1020"/>
      <x:c r="M51" s="1020"/>
      <x:c r="N51" s="1020"/>
      <x:c r="O51" s="1020"/>
      <x:c r="P51" s="1020"/>
      <x:c r="Q51" s="1020"/>
      <x:c r="R51" s="1020"/>
      <x:c r="S51" s="1020"/>
      <x:c r="T51" s="1020"/>
      <x:c r="U51" s="1020"/>
      <x:c r="V51" s="1020"/>
      <x:c r="W51" s="1020"/>
      <x:c r="X51" s="1020"/>
      <x:c r="Y51" s="1020"/>
      <x:c r="Z51" s="1020"/>
      <x:c r="AA51" s="1020"/>
      <x:c r="AB51" s="1020"/>
      <x:c r="AC51" s="1020"/>
      <x:c r="AD51" s="1020"/>
      <x:c r="AE51" s="1020"/>
      <x:c r="AF51" s="1020"/>
      <x:c r="AG51" s="1020"/>
      <x:c r="AH51" s="1020"/>
      <x:c r="AI51" s="1020"/>
      <x:c r="AJ51" s="1020"/>
      <x:c r="AK51" s="1020"/>
      <x:c r="AL51" s="1020"/>
      <x:c r="AM51" s="54"/>
      <x:c r="AN51" s="54"/>
      <x:c r="AO51" s="54"/>
      <x:c r="AP51" s="54"/>
      <x:c r="AQ51" s="54"/>
      <x:c r="AR51" s="54"/>
    </x:row>
    <x:row r="52" spans="1:44">
      <x:c r="A52" s="1021"/>
      <x:c r="B52" s="1021"/>
      <x:c r="C52" s="43"/>
      <x:c r="D52" s="1021"/>
      <x:c r="E52" s="1021"/>
      <x:c r="F52" s="1021"/>
      <x:c r="G52" s="1021"/>
      <x:c r="H52" s="1021"/>
      <x:c r="I52" s="1020"/>
      <x:c r="J52" s="1020"/>
      <x:c r="K52" s="1020"/>
      <x:c r="L52" s="1020"/>
      <x:c r="M52" s="1020"/>
      <x:c r="N52" s="1020"/>
      <x:c r="O52" s="1020"/>
      <x:c r="P52" s="1020"/>
      <x:c r="Q52" s="1020"/>
      <x:c r="R52" s="1020"/>
      <x:c r="S52" s="1020"/>
      <x:c r="T52" s="1020"/>
      <x:c r="U52" s="1020"/>
      <x:c r="V52" s="1020"/>
      <x:c r="W52" s="1020"/>
      <x:c r="X52" s="1020"/>
      <x:c r="Y52" s="1020"/>
      <x:c r="Z52" s="1020"/>
      <x:c r="AA52" s="1020"/>
      <x:c r="AB52" s="1020"/>
      <x:c r="AC52" s="1020"/>
      <x:c r="AD52" s="1020"/>
      <x:c r="AE52" s="1020"/>
      <x:c r="AF52" s="1020"/>
      <x:c r="AG52" s="1020"/>
      <x:c r="AH52" s="1020"/>
      <x:c r="AI52" s="1020"/>
      <x:c r="AJ52" s="1020"/>
      <x:c r="AK52" s="1020"/>
      <x:c r="AL52" s="1020"/>
      <x:c r="AM52" s="54"/>
      <x:c r="AN52" s="54"/>
      <x:c r="AO52" s="54"/>
      <x:c r="AP52" s="54"/>
      <x:c r="AQ52" s="54"/>
      <x:c r="AR52" s="54"/>
    </x:row>
  </x:sheetData>
  <x:mergeCells count="100">
    <x:mergeCell ref="AL51:AL52"/>
    <x:mergeCell ref="AF51:AF52"/>
    <x:mergeCell ref="AG51:AG52"/>
    <x:mergeCell ref="AH51:AH52"/>
    <x:mergeCell ref="AI51:AI52"/>
    <x:mergeCell ref="AJ51:AJ52"/>
    <x:mergeCell ref="AK51:AK52"/>
    <x:mergeCell ref="Z51:Z52"/>
    <x:mergeCell ref="AA51:AA52"/>
    <x:mergeCell ref="AB51:AB52"/>
    <x:mergeCell ref="AC51:AC52"/>
    <x:mergeCell ref="AD51:AD52"/>
    <x:mergeCell ref="AE51:AE52"/>
    <x:mergeCell ref="T51:T52"/>
    <x:mergeCell ref="U51:U52"/>
    <x:mergeCell ref="V51:V52"/>
    <x:mergeCell ref="W51:W52"/>
    <x:mergeCell ref="X51:X52"/>
    <x:mergeCell ref="Y51:Y52"/>
    <x:mergeCell ref="N51:N52"/>
    <x:mergeCell ref="O51:O52"/>
    <x:mergeCell ref="P51:P52"/>
    <x:mergeCell ref="Q51:Q52"/>
    <x:mergeCell ref="R51:R52"/>
    <x:mergeCell ref="S51:S52"/>
    <x:mergeCell ref="H51:H52"/>
    <x:mergeCell ref="I51:I52"/>
    <x:mergeCell ref="J51:J52"/>
    <x:mergeCell ref="K51:K52"/>
    <x:mergeCell ref="L51:L52"/>
    <x:mergeCell ref="M51:M52"/>
    <x:mergeCell ref="A51:A52"/>
    <x:mergeCell ref="B51:B52"/>
    <x:mergeCell ref="D51:D52"/>
    <x:mergeCell ref="E51:E52"/>
    <x:mergeCell ref="F51:F52"/>
    <x:mergeCell ref="G51:G52"/>
    <x:mergeCell ref="A44:A49"/>
    <x:mergeCell ref="AM44:AR44"/>
    <x:mergeCell ref="AM45:AR45"/>
    <x:mergeCell ref="AM46:AR46"/>
    <x:mergeCell ref="AM47:AR47"/>
    <x:mergeCell ref="AM48:AR48"/>
    <x:mergeCell ref="AM49:AR49"/>
    <x:mergeCell ref="A36:A41"/>
    <x:mergeCell ref="AM38:AR38"/>
    <x:mergeCell ref="AM39:AR39"/>
    <x:mergeCell ref="AM40:AR40"/>
    <x:mergeCell ref="AM41:AR41"/>
    <x:mergeCell ref="A28:A34"/>
    <x:mergeCell ref="AM28:AR28"/>
    <x:mergeCell ref="AM29:AR29"/>
    <x:mergeCell ref="AM31:AR31"/>
    <x:mergeCell ref="AM34:AR34"/>
    <x:mergeCell ref="A20:A26"/>
    <x:mergeCell ref="A1:M1"/>
    <x:mergeCell ref="N1:Q1"/>
    <x:mergeCell ref="R1:V1"/>
    <x:mergeCell ref="W1:AA1"/>
    <x:mergeCell ref="AB1:AM1"/>
    <x:mergeCell ref="AN1:AR1"/>
    <x:mergeCell ref="A13:A18"/>
    <x:mergeCell ref="A6:A11"/>
    <x:mergeCell ref="AM6:AR6"/>
    <x:mergeCell ref="AM7:AR7"/>
    <x:mergeCell ref="AM8:AR8"/>
    <x:mergeCell ref="AM9:AR9"/>
    <x:mergeCell ref="AM10:AR10"/>
    <x:mergeCell ref="AM11:AR11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M26:AR26"/>
    <x:mergeCell ref="AM30:AR30"/>
    <x:mergeCell ref="AM22:AR22"/>
    <x:mergeCell ref="AM23:AR23"/>
    <x:mergeCell ref="AM24:AR24"/>
    <x:mergeCell ref="AM17:AR17"/>
    <x:mergeCell ref="AM18:AR18"/>
    <x:mergeCell ref="AM16:AR16"/>
    <x:mergeCell ref="AM13:AR13"/>
    <x:mergeCell ref="AM14:AR14"/>
    <x:mergeCell ref="AM15:AR15"/>
    <x:mergeCell ref="AM42:AR42"/>
    <x:mergeCell ref="AM37:AR37"/>
    <x:mergeCell ref="AM36:AR36"/>
    <x:mergeCell ref="AM32:AR32"/>
    <x:mergeCell ref="AM33:AR33"/>
    <x:mergeCell ref="AM25:AR25"/>
    <x:mergeCell ref="AM20:AR20"/>
    <x:mergeCell ref="AM21:AR21"/>
  </x:mergeCells>
  <x:conditionalFormatting sqref="E8:E10">
    <x:cfRule type="containsText" dxfId="46" priority="106" stopIfTrue="1" operator="containsText" text="N">
      <x:formula>NOT(ISERROR(FIND(UPPER("N"),UPPER(E8))))</x:formula>
      <x:formula>"N"</x:formula>
    </x:cfRule>
  </x:conditionalFormatting>
  <x:conditionalFormatting sqref="E28:F28 E34:H34">
    <x:cfRule type="containsText" dxfId="45" priority="100" stopIfTrue="1" operator="containsText" text="N">
      <x:formula>NOT(ISERROR(FIND(UPPER("N"),UPPER(E28))))</x:formula>
      <x:formula>"N"</x:formula>
    </x:cfRule>
  </x:conditionalFormatting>
  <x:conditionalFormatting sqref="E38:H41">
    <x:cfRule type="containsText" dxfId="44" priority="117" stopIfTrue="1" operator="containsText" text="N">
      <x:formula>NOT(ISERROR(FIND(UPPER("N"),UPPER(E38))))</x:formula>
      <x:formula>"N"</x:formula>
    </x:cfRule>
  </x:conditionalFormatting>
  <x:conditionalFormatting sqref="E44:H49">
    <x:cfRule type="containsText" dxfId="43" priority="135" stopIfTrue="1" operator="containsText" text="N">
      <x:formula>NOT(ISERROR(FIND(UPPER("N"),UPPER(E44))))</x:formula>
      <x:formula>"N"</x:formula>
    </x:cfRule>
  </x:conditionalFormatting>
  <x:conditionalFormatting sqref="Q7:Q7">
    <x:cfRule type="containsText" dxfId="42" priority="92" stopIfTrue="1" operator="containsText" text="N">
      <x:formula>NOT(ISERROR(FIND(UPPER("N"),UPPER(Q7))))</x:formula>
      <x:formula>"N"</x:formula>
    </x:cfRule>
  </x:conditionalFormatting>
  <x:conditionalFormatting sqref="Q6:S6 I7:M7 I8:Q11">
    <x:cfRule type="containsText" dxfId="41" priority="93" stopIfTrue="1" operator="containsText" text="N">
      <x:formula>NOT(ISERROR(FIND(UPPER("N"),UPPER(I6))))</x:formula>
      <x:formula>"N"</x:formula>
    </x:cfRule>
  </x:conditionalFormatting>
  <x:conditionalFormatting sqref="J29:M29 J31:M31 I34:M34">
    <x:cfRule type="containsText" dxfId="39" priority="65" stopIfTrue="1" operator="containsText" text="N">
      <x:formula>NOT(ISERROR(FIND(UPPER("N"),UPPER(I29))))</x:formula>
      <x:formula>"N"</x:formula>
    </x:cfRule>
  </x:conditionalFormatting>
  <x:conditionalFormatting sqref="I38:M41">
    <x:cfRule type="containsText" dxfId="38" priority="58" stopIfTrue="1" operator="containsText" text="N">
      <x:formula>NOT(ISERROR(FIND(UPPER("N"),UPPER(I38))))</x:formula>
      <x:formula>"N"</x:formula>
    </x:cfRule>
  </x:conditionalFormatting>
  <x:conditionalFormatting sqref="I45:M49">
    <x:cfRule type="containsText" dxfId="37" priority="51" stopIfTrue="1" operator="containsText" text="N">
      <x:formula>NOT(ISERROR(FIND(UPPER("N"),UPPER(I45))))</x:formula>
      <x:formula>"N"</x:formula>
    </x:cfRule>
  </x:conditionalFormatting>
  <x:conditionalFormatting sqref="S7:S8">
    <x:cfRule type="containsText" dxfId="36" priority="87" stopIfTrue="1" operator="containsText" text="N">
      <x:formula>NOT(ISERROR(FIND(UPPER("N"),UPPER(S7))))</x:formula>
      <x:formula>"N"</x:formula>
    </x:cfRule>
  </x:conditionalFormatting>
  <x:conditionalFormatting sqref="U8:U8">
    <x:cfRule type="containsText" dxfId="35" priority="89" stopIfTrue="1" operator="containsText" text="N">
      <x:formula>NOT(ISERROR(FIND(UPPER("N"),UPPER(U8))))</x:formula>
      <x:formula>"N"</x:formula>
    </x:cfRule>
  </x:conditionalFormatting>
  <x:conditionalFormatting sqref="I26:M26">
    <x:cfRule type="containsText" dxfId="40" priority="4" stopIfTrue="1" operator="containsText" text="N">
      <x:formula>NOT(ISERROR(FIND(UPPER("N"),UPPER(I26))))</x:formula>
      <x:formula>"N"</x:formula>
    </x:cfRule>
  </x:conditionalFormatting>
  <x:conditionalFormatting sqref="S29:S29 U29:U29 E36:Q37 I42:Q42 N15:Q17 I15:L17 I14:Q14 E14:E14 S13:S13 Q13:Q13 I13:M13 I22:Q23 I24:O24 Q28:S28 N34:Q34 E30:E30 I30:Q30 E29:I29 E31:I31 U46:U46 S45:S46 Q44:S44 N46:Q49 Q45:Q45 U38:U38 S38:S38 N38:Q41 N31:P31 Q29:Q29 N26:O26">
    <x:cfRule type="containsText" dxfId="12" priority="3" stopIfTrue="1" operator="containsText" text="N">
      <x:formula>NOT(ISERROR(FIND(UPPER("N"),UPPER(E13))))</x:formula>
      <x:formula>"N"</x:formula>
    </x:cfRule>
  </x:conditionalFormatting>
  <x:conditionalFormatting sqref="U20:U20 S20:S20 I20:Q20">
    <x:cfRule type="containsText" dxfId="12" priority="2" stopIfTrue="1" operator="containsText" text="N">
      <x:formula>NOT(ISERROR(FIND(UPPER("N"),UPPER(I20))))</x:formula>
      <x:formula>"N"</x:formula>
    </x:cfRule>
  </x:conditionalFormatting>
  <x:conditionalFormatting sqref="I21:Q21">
    <x:cfRule type="containsText" dxfId="12" priority="1" stopIfTrue="1" operator="containsText" text="N">
      <x:formula>NOT(ISERROR(FIND(UPPER("N"),UPPER(I21))))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AY53"/>
  <x:sheetViews>
    <x:sheetView tabSelected="1" topLeftCell="A1" zoomScale="80" zoomScaleNormal="80" zoomScaleSheetLayoutView="75" workbookViewId="0">
      <x:pane xSplit="0" ySplit="4" topLeftCell="A15" activePane="bottomLeft" state="frozen"/>
      <x:selection pane="bottomLeft" activeCell="AD32" activeCellId="0" sqref="AD32:AD32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customWidth="1"/>
    <x:col min="6" max="8" width="5.375" style="40" customWidth="1"/>
    <x:col min="9" max="18" width="7.125" style="40" hidden="1" customWidth="1"/>
    <x:col min="19" max="20" width="7.12109375" style="40" customWidth="1"/>
    <x:col min="21" max="21" width="7.12109375" style="41" customWidth="1"/>
    <x:col min="22" max="22" width="7.12109375" style="40" customWidth="1"/>
    <x:col min="23" max="38" width="7.1171875" style="40" customWidth="1"/>
    <x:col min="39" max="42" width="5.625" style="40" customWidth="1"/>
    <x:col min="44" max="44" width="10.5" style="40" customWidth="1"/>
  </x:cols>
  <x:sheetData>
    <x:row r="1" spans="1:44" ht="25.5" customHeight="1">
      <x:c r="A1" s="1046" t="s">
        <x:v>37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 s="39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 s="39" customFormat="1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4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304</x:v>
      </x:c>
      <x:c r="J4" s="96" t="s">
        <x:v>263</x:v>
      </x:c>
      <x:c r="K4" s="96" t="s">
        <x:v>288</x:v>
      </x:c>
      <x:c r="L4" s="98" t="s">
        <x:v>227</x:v>
      </x:c>
      <x:c r="M4" s="95"/>
      <x:c r="N4" s="97" t="s">
        <x:v>243</x:v>
      </x:c>
      <x:c r="O4" s="96" t="s">
        <x:v>327</x:v>
      </x:c>
      <x:c r="P4" s="133" t="s">
        <x:v>233</x:v>
      </x:c>
      <x:c r="Q4" s="96" t="s">
        <x:v>309</x:v>
      </x:c>
      <x:c r="R4" s="95" t="s">
        <x:v>232</x:v>
      </x:c>
      <x:c r="S4" s="97" t="s">
        <x:v>247</x:v>
      </x:c>
      <x:c r="T4" s="96" t="s">
        <x:v>307</x:v>
      </x:c>
      <x:c r="U4" s="96" t="s">
        <x:v>333</x:v>
      </x:c>
      <x:c r="V4" s="96" t="s">
        <x:v>329</x:v>
      </x:c>
      <x:c r="W4" s="95"/>
      <x:c r="X4" s="132" t="s">
        <x:v>268</x:v>
      </x:c>
      <x:c r="Y4" s="96" t="s">
        <x:v>248</x:v>
      </x:c>
      <x:c r="Z4" s="96" t="s">
        <x:v>244</x:v>
      </x:c>
      <x:c r="AA4" s="96" t="s">
        <x:v>291</x:v>
      </x:c>
      <x:c r="AB4" s="95" t="s">
        <x:v>325</x:v>
      </x:c>
      <x:c r="AC4" s="97" t="s">
        <x:v>251</x:v>
      </x:c>
      <x:c r="AD4" s="96" t="s">
        <x:v>293</x:v>
      </x:c>
      <x:c r="AE4" s="96" t="s">
        <x:v>269</x:v>
      </x:c>
      <x:c r="AF4" s="96" t="s">
        <x:v>245</x:v>
      </x:c>
      <x:c r="AG4" s="95"/>
      <x:c r="AH4" s="97" t="s">
        <x:v>247</x:v>
      </x:c>
      <x:c r="AI4" s="96" t="s">
        <x:v>307</x:v>
      </x:c>
      <x:c r="AJ4" s="96" t="s">
        <x:v>333</x:v>
      </x:c>
      <x:c r="AK4" s="96" t="s">
        <x:v>329</x:v>
      </x:c>
      <x:c r="AL4" s="98"/>
      <x:c r="AM4" s="1072"/>
      <x:c r="AN4" s="1073"/>
      <x:c r="AO4" s="1073"/>
      <x:c r="AP4" s="1073"/>
      <x:c r="AQ4" s="1073"/>
      <x:c r="AR4" s="1074"/>
    </x:row>
    <x:row r="5" spans="1:44" ht="16.5" customHeight="1">
      <x:c r="A5" s="54"/>
      <x:c r="B5" s="83"/>
      <x:c r="C5" s="54"/>
      <x:c r="D5" s="54"/>
      <x:c r="E5" s="54"/>
      <x:c r="F5" s="54"/>
      <x:c r="G5" s="54"/>
      <x:c r="H5" s="54"/>
      <x:c r="I5" s="99"/>
      <x:c r="J5" s="99"/>
      <x:c r="K5" s="99"/>
      <x:c r="L5" s="99"/>
      <x:c r="M5" s="99"/>
      <x:c r="N5" s="105"/>
      <x:c r="O5" s="99"/>
      <x:c r="P5" s="105"/>
      <x:c r="Q5" s="99"/>
      <x:c r="R5" s="99"/>
      <x:c r="S5" s="99"/>
      <x:c r="T5" s="99"/>
      <x:c r="U5" s="99"/>
      <x:c r="V5" s="99"/>
      <x:c r="W5" s="99"/>
      <x:c r="X5" s="99"/>
      <x:c r="Y5" s="99"/>
      <x:c r="Z5" s="99"/>
      <x:c r="AA5" s="100"/>
      <x:c r="AB5" s="99"/>
      <x:c r="AC5" s="99"/>
      <x:c r="AD5" s="99"/>
      <x:c r="AE5" s="99"/>
      <x:c r="AF5" s="99"/>
      <x:c r="AG5" s="99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</x:row>
    <x:row r="6" spans="1:44" ht="16.5" customHeight="1">
      <x:c r="A6" s="1129">
        <x:v>0.083333333333333329</x:v>
      </x:c>
      <x:c r="B6" s="55"/>
      <x:c r="C6" s="55"/>
      <x:c r="D6" s="55"/>
      <x:c r="E6" s="51"/>
      <x:c r="F6" s="51"/>
      <x:c r="G6" s="51"/>
      <x:c r="H6" s="51"/>
      <x:c r="I6" s="123"/>
      <x:c r="J6" s="58"/>
      <x:c r="K6" s="58"/>
      <x:c r="L6" s="58"/>
      <x:c r="M6" s="134"/>
      <x:c r="N6" s="127"/>
      <x:c r="O6" s="58"/>
      <x:c r="P6" s="153"/>
      <x:c r="Q6" s="57"/>
      <x:c r="R6" s="121"/>
      <x:c r="S6" s="119"/>
      <x:c r="T6" s="57"/>
      <x:c r="U6" s="57"/>
      <x:c r="V6" s="57"/>
      <x:c r="W6" s="121"/>
      <x:c r="X6" s="141"/>
      <x:c r="Y6" s="57"/>
      <x:c r="Z6" s="57"/>
      <x:c r="AA6" s="57"/>
      <x:c r="AB6" s="121"/>
      <x:c r="AC6" s="119"/>
      <x:c r="AD6" s="57"/>
      <x:c r="AE6" s="57"/>
      <x:c r="AF6" s="57"/>
      <x:c r="AG6" s="138"/>
      <x:c r="AH6" s="57"/>
      <x:c r="AI6" s="57"/>
      <x:c r="AJ6" s="57"/>
      <x:c r="AK6" s="57"/>
      <x:c r="AL6" s="149"/>
      <x:c r="AM6" s="1026"/>
      <x:c r="AN6" s="1027"/>
      <x:c r="AO6" s="1027"/>
      <x:c r="AP6" s="1027"/>
      <x:c r="AQ6" s="1027"/>
      <x:c r="AR6" s="1028"/>
    </x:row>
    <x:row r="7" spans="1:44" ht="17.25" customHeight="1">
      <x:c r="A7" s="1116"/>
      <x:c r="B7" s="84"/>
      <x:c r="C7" s="71"/>
      <x:c r="D7" s="66"/>
      <x:c r="E7" s="44"/>
      <x:c r="F7" s="44"/>
      <x:c r="G7" s="44"/>
      <x:c r="H7" s="44"/>
      <x:c r="I7" s="125"/>
      <x:c r="J7" s="85"/>
      <x:c r="K7" s="85"/>
      <x:c r="L7" s="85"/>
      <x:c r="M7" s="135"/>
      <x:c r="N7" s="118"/>
      <x:c r="O7" s="72"/>
      <x:c r="P7" s="154"/>
      <x:c r="Q7" s="71"/>
      <x:c r="R7" s="122"/>
      <x:c r="S7" s="120"/>
      <x:c r="T7" s="71"/>
      <x:c r="U7" s="71"/>
      <x:c r="V7" s="71"/>
      <x:c r="W7" s="122"/>
      <x:c r="X7" s="142"/>
      <x:c r="Y7" s="71"/>
      <x:c r="Z7" s="71"/>
      <x:c r="AA7" s="71"/>
      <x:c r="AB7" s="122"/>
      <x:c r="AC7" s="120"/>
      <x:c r="AD7" s="71"/>
      <x:c r="AE7" s="71"/>
      <x:c r="AF7" s="71"/>
      <x:c r="AG7" s="139"/>
      <x:c r="AH7" s="71"/>
      <x:c r="AI7" s="71"/>
      <x:c r="AJ7" s="71"/>
      <x:c r="AK7" s="71"/>
      <x:c r="AL7" s="150"/>
      <x:c r="AM7" s="1029"/>
      <x:c r="AN7" s="1030"/>
      <x:c r="AO7" s="1030"/>
      <x:c r="AP7" s="1030"/>
      <x:c r="AQ7" s="1030"/>
      <x:c r="AR7" s="1031"/>
    </x:row>
    <x:row r="8" spans="1:44" ht="17.449999999999999" customHeight="1">
      <x:c r="A8" s="1116"/>
      <x:c r="B8" s="85"/>
      <x:c r="C8" s="71"/>
      <x:c r="D8" s="66"/>
      <x:c r="E8" s="44"/>
      <x:c r="F8" s="44"/>
      <x:c r="G8" s="44"/>
      <x:c r="H8" s="44"/>
      <x:c r="I8" s="125"/>
      <x:c r="J8" s="85"/>
      <x:c r="K8" s="85"/>
      <x:c r="L8" s="85"/>
      <x:c r="M8" s="135"/>
      <x:c r="N8" s="125"/>
      <x:c r="O8" s="85"/>
      <x:c r="P8" s="154"/>
      <x:c r="Q8" s="85"/>
      <x:c r="R8" s="122"/>
      <x:c r="S8" s="120"/>
      <x:c r="T8" s="71"/>
      <x:c r="U8" s="71"/>
      <x:c r="V8" s="71"/>
      <x:c r="W8" s="122"/>
      <x:c r="X8" s="142"/>
      <x:c r="Y8" s="71"/>
      <x:c r="Z8" s="71"/>
      <x:c r="AA8" s="71"/>
      <x:c r="AB8" s="122"/>
      <x:c r="AC8" s="120"/>
      <x:c r="AD8" s="71"/>
      <x:c r="AE8" s="71"/>
      <x:c r="AF8" s="71"/>
      <x:c r="AG8" s="139"/>
      <x:c r="AH8" s="71"/>
      <x:c r="AI8" s="71"/>
      <x:c r="AJ8" s="71"/>
      <x:c r="AK8" s="71"/>
      <x:c r="AL8" s="150"/>
      <x:c r="AM8" s="1029"/>
      <x:c r="AN8" s="1030"/>
      <x:c r="AO8" s="1030"/>
      <x:c r="AP8" s="1030"/>
      <x:c r="AQ8" s="1030"/>
      <x:c r="AR8" s="1031"/>
    </x:row>
    <x:row r="9" spans="1:44" ht="17.449999999999999" customHeight="1">
      <x:c r="A9" s="1130"/>
      <x:c r="B9" s="86"/>
      <x:c r="C9" s="60"/>
      <x:c r="D9" s="42"/>
      <x:c r="E9" s="47"/>
      <x:c r="F9" s="47"/>
      <x:c r="G9" s="47"/>
      <x:c r="H9" s="47"/>
      <x:c r="I9" s="125"/>
      <x:c r="J9" s="85"/>
      <x:c r="K9" s="85"/>
      <x:c r="L9" s="85"/>
      <x:c r="M9" s="135"/>
      <x:c r="N9" s="125"/>
      <x:c r="O9" s="85"/>
      <x:c r="P9" s="154"/>
      <x:c r="Q9" s="85"/>
      <x:c r="R9" s="122"/>
      <x:c r="S9" s="120"/>
      <x:c r="T9" s="71"/>
      <x:c r="U9" s="71"/>
      <x:c r="V9" s="71"/>
      <x:c r="W9" s="122"/>
      <x:c r="X9" s="142"/>
      <x:c r="Y9" s="71"/>
      <x:c r="Z9" s="71"/>
      <x:c r="AA9" s="71"/>
      <x:c r="AB9" s="122"/>
      <x:c r="AC9" s="120"/>
      <x:c r="AD9" s="71"/>
      <x:c r="AE9" s="71"/>
      <x:c r="AF9" s="71"/>
      <x:c r="AG9" s="139"/>
      <x:c r="AH9" s="71"/>
      <x:c r="AI9" s="71"/>
      <x:c r="AJ9" s="71"/>
      <x:c r="AK9" s="71"/>
      <x:c r="AL9" s="150"/>
      <x:c r="AM9" s="1029"/>
      <x:c r="AN9" s="1030"/>
      <x:c r="AO9" s="1030"/>
      <x:c r="AP9" s="1030"/>
      <x:c r="AQ9" s="1030"/>
      <x:c r="AR9" s="1031"/>
    </x:row>
    <x:row r="10" spans="1:44" ht="17.449999999999999" customHeight="1">
      <x:c r="A10" s="1130"/>
      <x:c r="B10" s="86"/>
      <x:c r="C10" s="60"/>
      <x:c r="D10" s="42"/>
      <x:c r="E10" s="47"/>
      <x:c r="F10" s="47"/>
      <x:c r="G10" s="47"/>
      <x:c r="H10" s="47"/>
      <x:c r="I10" s="128"/>
      <x:c r="J10" s="86"/>
      <x:c r="K10" s="86"/>
      <x:c r="L10" s="86"/>
      <x:c r="M10" s="136"/>
      <x:c r="N10" s="128"/>
      <x:c r="O10" s="86"/>
      <x:c r="P10" s="155"/>
      <x:c r="Q10" s="111"/>
      <x:c r="R10" s="115"/>
      <x:c r="S10" s="114"/>
      <x:c r="T10" s="77"/>
      <x:c r="U10" s="77"/>
      <x:c r="V10" s="77"/>
      <x:c r="W10" s="115"/>
      <x:c r="X10" s="143"/>
      <x:c r="Y10" s="77"/>
      <x:c r="Z10" s="77"/>
      <x:c r="AA10" s="77"/>
      <x:c r="AB10" s="115"/>
      <x:c r="AC10" s="114"/>
      <x:c r="AD10" s="77"/>
      <x:c r="AE10" s="77"/>
      <x:c r="AF10" s="77"/>
      <x:c r="AG10" s="140"/>
      <x:c r="AH10" s="77"/>
      <x:c r="AI10" s="77"/>
      <x:c r="AJ10" s="77"/>
      <x:c r="AK10" s="77"/>
      <x:c r="AL10" s="151"/>
      <x:c r="AM10" s="1032"/>
      <x:c r="AN10" s="1033"/>
      <x:c r="AO10" s="1033"/>
      <x:c r="AP10" s="1033"/>
      <x:c r="AQ10" s="1033"/>
      <x:c r="AR10" s="1034"/>
    </x:row>
    <x:row r="11" spans="1:44" ht="16.75">
      <x:c r="A11" s="1117"/>
      <x:c r="B11" s="87"/>
      <x:c r="C11" s="73"/>
      <x:c r="D11" s="68"/>
      <x:c r="E11" s="56"/>
      <x:c r="F11" s="56"/>
      <x:c r="G11" s="56"/>
      <x:c r="H11" s="56"/>
      <x:c r="I11" s="116"/>
      <x:c r="J11" s="80"/>
      <x:c r="K11" s="80"/>
      <x:c r="L11" s="80"/>
      <x:c r="M11" s="137"/>
      <x:c r="N11" s="116"/>
      <x:c r="O11" s="80"/>
      <x:c r="P11" s="148"/>
      <x:c r="Q11" s="80"/>
      <x:c r="R11" s="117"/>
      <x:c r="S11" s="116"/>
      <x:c r="T11" s="80"/>
      <x:c r="U11" s="80"/>
      <x:c r="V11" s="80"/>
      <x:c r="W11" s="117"/>
      <x:c r="X11" s="144"/>
      <x:c r="Y11" s="80"/>
      <x:c r="Z11" s="80"/>
      <x:c r="AA11" s="80"/>
      <x:c r="AB11" s="117"/>
      <x:c r="AC11" s="116"/>
      <x:c r="AD11" s="80"/>
      <x:c r="AE11" s="80"/>
      <x:c r="AF11" s="80"/>
      <x:c r="AG11" s="137"/>
      <x:c r="AH11" s="80"/>
      <x:c r="AI11" s="80"/>
      <x:c r="AJ11" s="80"/>
      <x:c r="AK11" s="80"/>
      <x:c r="AL11" s="152"/>
      <x:c r="AM11" s="1035"/>
      <x:c r="AN11" s="1036"/>
      <x:c r="AO11" s="1036"/>
      <x:c r="AP11" s="1036"/>
      <x:c r="AQ11" s="1036"/>
      <x:c r="AR11" s="1037"/>
    </x:row>
    <x:row r="12" spans="1:44">
      <x:c r="A12" s="54"/>
      <x:c r="B12" s="94"/>
      <x:c r="C12" s="74"/>
      <x:c r="D12" s="74"/>
      <x:c r="E12" s="74"/>
      <x:c r="F12" s="74"/>
      <x:c r="G12" s="74"/>
      <x:c r="H12" s="74"/>
      <x:c r="I12" s="105"/>
      <x:c r="J12" s="105"/>
      <x:c r="K12" s="105"/>
      <x:c r="L12" s="105"/>
      <x:c r="M12" s="105"/>
      <x:c r="N12" s="112"/>
      <x:c r="O12" s="105"/>
      <x:c r="P12" s="105"/>
      <x:c r="Q12" s="105"/>
      <x:c r="R12" s="105"/>
      <x:c r="S12" s="105"/>
      <x:c r="T12" s="105"/>
      <x:c r="U12" s="105"/>
      <x:c r="V12" s="105"/>
      <x:c r="W12" s="105"/>
      <x:c r="X12" s="105"/>
      <x:c r="Y12" s="105"/>
      <x:c r="Z12" s="105"/>
      <x:c r="AA12" s="105"/>
      <x:c r="AB12" s="105"/>
      <x:c r="AC12" s="105"/>
      <x:c r="AD12" s="105"/>
      <x:c r="AE12" s="105"/>
      <x:c r="AF12" s="105"/>
      <x:c r="AG12" s="105"/>
      <x:c r="AH12" s="105"/>
      <x:c r="AI12" s="105"/>
      <x:c r="AJ12" s="105"/>
      <x:c r="AK12" s="105"/>
      <x:c r="AL12" s="105"/>
      <x:c r="AM12" s="54"/>
      <x:c r="AN12" s="54"/>
      <x:c r="AO12" s="54"/>
      <x:c r="AP12" s="54"/>
      <x:c r="AQ12" s="54"/>
      <x:c r="AR12" s="54"/>
    </x:row>
    <x:row r="13" spans="1:44" ht="16.5" customHeight="1">
      <x:c r="A13" s="1129">
        <x:v>0.125</x:v>
      </x:c>
      <x:c r="B13" s="210"/>
      <x:c r="C13" s="211"/>
      <x:c r="D13" s="212"/>
      <x:c r="E13" s="51"/>
      <x:c r="F13" s="51"/>
      <x:c r="G13" s="51"/>
      <x:c r="H13" s="51"/>
      <x:c r="I13" s="274"/>
      <x:c r="J13" s="307"/>
      <x:c r="K13" s="307"/>
      <x:c r="L13" s="307"/>
      <x:c r="M13" s="134"/>
      <x:c r="N13" s="395"/>
      <x:c r="O13" s="153"/>
      <x:c r="P13" s="153"/>
      <x:c r="Q13" s="145"/>
      <x:c r="R13" s="138"/>
      <x:c r="S13" s="119"/>
      <x:c r="T13" s="57"/>
      <x:c r="U13" s="57"/>
      <x:c r="V13" s="57"/>
      <x:c r="W13" s="121"/>
      <x:c r="X13" s="141"/>
      <x:c r="Y13" s="57"/>
      <x:c r="Z13" s="57"/>
      <x:c r="AA13" s="57"/>
      <x:c r="AB13" s="121"/>
      <x:c r="AC13" s="119"/>
      <x:c r="AD13" s="57"/>
      <x:c r="AE13" s="57"/>
      <x:c r="AF13" s="57"/>
      <x:c r="AG13" s="138"/>
      <x:c r="AH13" s="57"/>
      <x:c r="AI13" s="57"/>
      <x:c r="AJ13" s="57"/>
      <x:c r="AK13" s="57"/>
      <x:c r="AL13" s="149"/>
      <x:c r="AM13" s="1026"/>
      <x:c r="AN13" s="1027"/>
      <x:c r="AO13" s="1027"/>
      <x:c r="AP13" s="1027"/>
      <x:c r="AQ13" s="1027"/>
      <x:c r="AR13" s="1028"/>
    </x:row>
    <x:row r="14" spans="1:44" ht="17.25" customHeight="1">
      <x:c r="A14" s="1116"/>
      <x:c r="B14" s="209"/>
      <x:c r="C14" s="208"/>
      <x:c r="D14" s="213"/>
      <x:c r="E14" s="44"/>
      <x:c r="F14" s="44"/>
      <x:c r="G14" s="44"/>
      <x:c r="H14" s="44"/>
      <x:c r="I14" s="275"/>
      <x:c r="J14" s="306"/>
      <x:c r="K14" s="306"/>
      <x:c r="L14" s="306"/>
      <x:c r="M14" s="135"/>
      <x:c r="N14" s="288"/>
      <x:c r="O14" s="154"/>
      <x:c r="P14" s="154"/>
      <x:c r="Q14" s="146"/>
      <x:c r="R14" s="139"/>
      <x:c r="S14" s="120"/>
      <x:c r="T14" s="71"/>
      <x:c r="U14" s="71"/>
      <x:c r="V14" s="71"/>
      <x:c r="W14" s="122"/>
      <x:c r="X14" s="142"/>
      <x:c r="Y14" s="71"/>
      <x:c r="Z14" s="71"/>
      <x:c r="AA14" s="71"/>
      <x:c r="AB14" s="122"/>
      <x:c r="AC14" s="120"/>
      <x:c r="AD14" s="71"/>
      <x:c r="AE14" s="71"/>
      <x:c r="AF14" s="71"/>
      <x:c r="AG14" s="139"/>
      <x:c r="AH14" s="71"/>
      <x:c r="AI14" s="71"/>
      <x:c r="AJ14" s="71"/>
      <x:c r="AK14" s="71"/>
      <x:c r="AL14" s="150"/>
      <x:c r="AM14" s="1029"/>
      <x:c r="AN14" s="1030"/>
      <x:c r="AO14" s="1030"/>
      <x:c r="AP14" s="1030"/>
      <x:c r="AQ14" s="1030"/>
      <x:c r="AR14" s="1031"/>
    </x:row>
    <x:row r="15" spans="1:46" ht="17.449999999999999" customHeight="1">
      <x:c r="A15" s="1116"/>
      <x:c r="B15" s="214"/>
      <x:c r="C15" s="168"/>
      <x:c r="D15" s="169"/>
      <x:c r="E15" s="44"/>
      <x:c r="F15" s="44"/>
      <x:c r="G15" s="44"/>
      <x:c r="H15" s="44"/>
      <x:c r="I15" s="275"/>
      <x:c r="J15" s="306"/>
      <x:c r="K15" s="306"/>
      <x:c r="L15" s="306"/>
      <x:c r="M15" s="135"/>
      <x:c r="N15" s="275"/>
      <x:c r="O15" s="306"/>
      <x:c r="P15" s="154"/>
      <x:c r="Q15" s="306"/>
      <x:c r="R15" s="122"/>
      <x:c r="S15" s="120"/>
      <x:c r="T15" s="71"/>
      <x:c r="U15" s="71"/>
      <x:c r="V15" s="71"/>
      <x:c r="W15" s="122"/>
      <x:c r="X15" s="142"/>
      <x:c r="Y15" s="71"/>
      <x:c r="Z15" s="71"/>
      <x:c r="AA15" s="71"/>
      <x:c r="AB15" s="122"/>
      <x:c r="AC15" s="120"/>
      <x:c r="AD15" s="71"/>
      <x:c r="AE15" s="71"/>
      <x:c r="AF15" s="71"/>
      <x:c r="AG15" s="139"/>
      <x:c r="AH15" s="71"/>
      <x:c r="AI15" s="71"/>
      <x:c r="AJ15" s="71"/>
      <x:c r="AK15" s="71"/>
      <x:c r="AL15" s="150"/>
      <x:c r="AM15" s="1029"/>
      <x:c r="AN15" s="1030"/>
      <x:c r="AO15" s="1030"/>
      <x:c r="AP15" s="1030"/>
      <x:c r="AQ15" s="1030"/>
      <x:c r="AR15" s="1031"/>
      <x:c r="AS15" s="286"/>
      <x:c r="AT15" s="286"/>
    </x:row>
    <x:row r="16" spans="1:46" ht="17.449999999999999" customHeight="1">
      <x:c r="A16" s="1130"/>
      <x:c r="B16" s="215"/>
      <x:c r="C16" s="71"/>
      <x:c r="D16" s="216"/>
      <x:c r="E16" s="47"/>
      <x:c r="F16" s="47"/>
      <x:c r="G16" s="47"/>
      <x:c r="H16" s="47"/>
      <x:c r="I16" s="377"/>
      <x:c r="J16" s="306"/>
      <x:c r="K16" s="306"/>
      <x:c r="L16" s="306"/>
      <x:c r="M16" s="135"/>
      <x:c r="N16" s="288"/>
      <x:c r="O16" s="306"/>
      <x:c r="P16" s="154"/>
      <x:c r="Q16" s="306"/>
      <x:c r="R16" s="139"/>
      <x:c r="S16" s="120"/>
      <x:c r="T16" s="71"/>
      <x:c r="U16" s="71"/>
      <x:c r="V16" s="71"/>
      <x:c r="W16" s="122"/>
      <x:c r="X16" s="142"/>
      <x:c r="Y16" s="71"/>
      <x:c r="Z16" s="71"/>
      <x:c r="AA16" s="71"/>
      <x:c r="AB16" s="122"/>
      <x:c r="AC16" s="120"/>
      <x:c r="AD16" s="71"/>
      <x:c r="AE16" s="71"/>
      <x:c r="AF16" s="71"/>
      <x:c r="AG16" s="139"/>
      <x:c r="AH16" s="71"/>
      <x:c r="AI16" s="71"/>
      <x:c r="AJ16" s="71"/>
      <x:c r="AK16" s="71"/>
      <x:c r="AL16" s="150"/>
      <x:c r="AM16" s="1029"/>
      <x:c r="AN16" s="1030"/>
      <x:c r="AO16" s="1030"/>
      <x:c r="AP16" s="1030"/>
      <x:c r="AQ16" s="1030"/>
      <x:c r="AR16" s="1031"/>
      <x:c r="AS16" s="286"/>
      <x:c r="AT16" s="286"/>
    </x:row>
    <x:row r="17" spans="1:45" s="17" customFormat="1" ht="17.449999999999999" customHeight="1">
      <x:c r="A17" s="1129"/>
      <x:c r="B17" s="192"/>
      <x:c r="C17" s="192"/>
      <x:c r="D17" s="190"/>
      <x:c r="E17" s="47"/>
      <x:c r="F17" s="47"/>
      <x:c r="G17" s="47"/>
      <x:c r="H17" s="47"/>
      <x:c r="I17" s="592"/>
      <x:c r="J17" s="308"/>
      <x:c r="K17" s="308"/>
      <x:c r="L17" s="308"/>
      <x:c r="M17" s="136"/>
      <x:c r="N17" s="299"/>
      <x:c r="O17" s="306"/>
      <x:c r="P17" s="155"/>
      <x:c r="Q17" s="308"/>
      <x:c r="R17" s="115"/>
      <x:c r="S17" s="114"/>
      <x:c r="T17" s="77"/>
      <x:c r="U17" s="77"/>
      <x:c r="V17" s="77"/>
      <x:c r="W17" s="115"/>
      <x:c r="X17" s="143"/>
      <x:c r="Y17" s="77"/>
      <x:c r="Z17" s="77"/>
      <x:c r="AA17" s="77"/>
      <x:c r="AB17" s="115"/>
      <x:c r="AC17" s="114"/>
      <x:c r="AD17" s="77"/>
      <x:c r="AE17" s="77"/>
      <x:c r="AF17" s="77"/>
      <x:c r="AG17" s="140"/>
      <x:c r="AH17" s="77"/>
      <x:c r="AI17" s="77"/>
      <x:c r="AJ17" s="77"/>
      <x:c r="AK17" s="77"/>
      <x:c r="AL17" s="151"/>
      <x:c r="AM17" s="176"/>
      <x:c r="AN17" s="177"/>
      <x:c r="AO17" s="177"/>
      <x:c r="AP17" s="177"/>
      <x:c r="AQ17" s="177"/>
      <x:c r="AR17" s="178"/>
      <x:c r="AS17" s="4"/>
    </x:row>
    <x:row r="18" spans="1:44" ht="17.449999999999999" customHeight="1">
      <x:c r="A18" s="1130"/>
      <x:c r="B18" s="86"/>
      <x:c r="C18" s="60"/>
      <x:c r="D18" s="42"/>
      <x:c r="E18" s="47"/>
      <x:c r="F18" s="47"/>
      <x:c r="G18" s="47"/>
      <x:c r="H18" s="47"/>
      <x:c r="I18" s="91"/>
      <x:c r="J18" s="61"/>
      <x:c r="K18" s="61"/>
      <x:c r="L18" s="308" t="s">
        <x:v>266</x:v>
      </x:c>
      <x:c r="M18" s="136"/>
      <x:c r="N18" s="277" t="s">
        <x:v>356</x:v>
      </x:c>
      <x:c r="O18" s="306" t="s">
        <x:v>257</x:v>
      </x:c>
      <x:c r="P18" s="155"/>
      <x:c r="Q18" s="308" t="s">
        <x:v>380</x:v>
      </x:c>
      <x:c r="R18" s="599" t="s">
        <x:v>276</x:v>
      </x:c>
      <x:c r="S18" s="114"/>
      <x:c r="T18" s="77"/>
      <x:c r="U18" s="77"/>
      <x:c r="V18" s="77"/>
      <x:c r="W18" s="115"/>
      <x:c r="X18" s="143"/>
      <x:c r="Y18" s="77"/>
      <x:c r="Z18" s="77"/>
      <x:c r="AA18" s="77"/>
      <x:c r="AB18" s="115"/>
      <x:c r="AC18" s="114"/>
      <x:c r="AD18" s="77"/>
      <x:c r="AE18" s="77"/>
      <x:c r="AF18" s="77"/>
      <x:c r="AG18" s="140"/>
      <x:c r="AH18" s="77"/>
      <x:c r="AI18" s="77"/>
      <x:c r="AJ18" s="77"/>
      <x:c r="AK18" s="77"/>
      <x:c r="AL18" s="151"/>
      <x:c r="AM18" s="1032"/>
      <x:c r="AN18" s="1033"/>
      <x:c r="AO18" s="1033"/>
      <x:c r="AP18" s="1033"/>
      <x:c r="AQ18" s="1033"/>
      <x:c r="AR18" s="1034"/>
    </x:row>
    <x:row r="19" spans="1:44" ht="16.75">
      <x:c r="A19" s="1117"/>
      <x:c r="B19" s="87"/>
      <x:c r="C19" s="73"/>
      <x:c r="D19" s="68"/>
      <x:c r="E19" s="56"/>
      <x:c r="F19" s="56"/>
      <x:c r="G19" s="56"/>
      <x:c r="H19" s="56"/>
      <x:c r="I19" s="116"/>
      <x:c r="J19" s="80"/>
      <x:c r="K19" s="80"/>
      <x:c r="L19" s="80"/>
      <x:c r="M19" s="137"/>
      <x:c r="N19" s="116"/>
      <x:c r="O19" s="533" t="s">
        <x:v>292</x:v>
      </x:c>
      <x:c r="P19" s="148"/>
      <x:c r="Q19" s="311" t="s">
        <x:v>177</x:v>
      </x:c>
      <x:c r="R19" s="394" t="s">
        <x:v>348</x:v>
      </x:c>
      <x:c r="S19" s="116"/>
      <x:c r="T19" s="80"/>
      <x:c r="U19" s="80"/>
      <x:c r="V19" s="80"/>
      <x:c r="W19" s="117"/>
      <x:c r="X19" s="144"/>
      <x:c r="Y19" s="80"/>
      <x:c r="Z19" s="80"/>
      <x:c r="AA19" s="80"/>
      <x:c r="AB19" s="117"/>
      <x:c r="AC19" s="116"/>
      <x:c r="AD19" s="80"/>
      <x:c r="AE19" s="80"/>
      <x:c r="AF19" s="80"/>
      <x:c r="AG19" s="137"/>
      <x:c r="AH19" s="80"/>
      <x:c r="AI19" s="80"/>
      <x:c r="AJ19" s="80"/>
      <x:c r="AK19" s="80"/>
      <x:c r="AL19" s="152"/>
      <x:c r="AM19" s="1035"/>
      <x:c r="AN19" s="1036"/>
      <x:c r="AO19" s="1036"/>
      <x:c r="AP19" s="1036"/>
      <x:c r="AQ19" s="1036"/>
      <x:c r="AR19" s="1037"/>
    </x:row>
    <x:row r="20" spans="1:44" ht="17.149999999999999">
      <x:c r="A20" s="106"/>
      <x:c r="B20" s="107"/>
      <x:c r="C20" s="108"/>
      <x:c r="D20" s="108"/>
      <x:c r="E20" s="109"/>
      <x:c r="F20" s="109"/>
      <x:c r="G20" s="109"/>
      <x:c r="H20" s="109"/>
      <x:c r="I20" s="110"/>
      <x:c r="J20" s="105"/>
      <x:c r="K20" s="105"/>
      <x:c r="L20" s="105"/>
      <x:c r="M20" s="105"/>
      <x:c r="N20" s="112"/>
      <x:c r="O20" s="534" t="s">
        <x:v>271</x:v>
      </x:c>
      <x:c r="P20" s="105"/>
      <x:c r="Q20" s="105"/>
      <x:c r="R20" s="105"/>
      <x:c r="S20" s="105"/>
      <x:c r="T20" s="105"/>
      <x:c r="U20" s="105"/>
      <x:c r="V20" s="105"/>
      <x:c r="W20" s="105"/>
      <x:c r="X20" s="105"/>
      <x:c r="Y20" s="105"/>
      <x:c r="Z20" s="105"/>
      <x:c r="AA20" s="105"/>
      <x:c r="AB20" s="105"/>
      <x:c r="AC20" s="105"/>
      <x:c r="AD20" s="105"/>
      <x:c r="AE20" s="105"/>
      <x:c r="AF20" s="105"/>
      <x:c r="AG20" s="105"/>
      <x:c r="AH20" s="105"/>
      <x:c r="AI20" s="105"/>
      <x:c r="AJ20" s="105"/>
      <x:c r="AK20" s="105"/>
      <x:c r="AL20" s="105"/>
      <x:c r="AM20" s="54"/>
      <x:c r="AN20" s="54"/>
      <x:c r="AO20" s="54"/>
      <x:c r="AP20" s="54"/>
      <x:c r="AQ20" s="54"/>
      <x:c r="AR20" s="54"/>
    </x:row>
    <x:row r="21" spans="1:46" ht="16.5" customHeight="1">
      <x:c r="A21" s="1132" t="s">
        <x:v>76</x:v>
      </x:c>
      <x:c r="B21" s="206" t="s">
        <x:v>372</x:v>
      </x:c>
      <x:c r="C21" s="55" t="s">
        <x:v>237</x:v>
      </x:c>
      <x:c r="D21" s="204" t="s">
        <x:v>375</x:v>
      </x:c>
      <x:c r="E21" s="743"/>
      <x:c r="F21" s="46"/>
      <x:c r="G21" s="46"/>
      <x:c r="H21" s="45"/>
      <x:c r="I21" s="274"/>
      <x:c r="J21" s="314"/>
      <x:c r="K21" s="307"/>
      <x:c r="L21" s="307"/>
      <x:c r="M21" s="134"/>
      <x:c r="N21" s="444" t="s">
        <x:v>235</x:v>
      </x:c>
      <x:c r="O21" s="336"/>
      <x:c r="P21" s="153"/>
      <x:c r="Q21" s="593"/>
      <x:c r="R21" s="138" t="s">
        <x:v>149</x:v>
      </x:c>
      <x:c r="S21" s="665"/>
      <x:c r="T21" s="593"/>
      <x:c r="U21" s="593"/>
      <x:c r="V21" s="593"/>
      <x:c r="W21" s="138"/>
      <x:c r="X21" s="141"/>
      <x:c r="Y21" s="593" t="s">
        <x:v>41</x:v>
      </x:c>
      <x:c r="Z21" s="593"/>
      <x:c r="AA21" s="593"/>
      <x:c r="AB21" s="606"/>
      <x:c r="AC21" s="119"/>
      <x:c r="AD21" s="57"/>
      <x:c r="AE21" s="57"/>
      <x:c r="AF21" s="57"/>
      <x:c r="AG21" s="138"/>
      <x:c r="AH21" s="57"/>
      <x:c r="AI21" s="57"/>
      <x:c r="AJ21" s="57"/>
      <x:c r="AK21" s="57"/>
      <x:c r="AL21" s="149"/>
      <x:c r="AM21" s="1026"/>
      <x:c r="AN21" s="1027"/>
      <x:c r="AO21" s="1027"/>
      <x:c r="AP21" s="1027"/>
      <x:c r="AQ21" s="1027"/>
      <x:c r="AR21" s="1028"/>
      <x:c r="AS21" s="286" t="s">
        <x:v>43</x:v>
      </x:c>
      <x:c r="AT21" s="286"/>
    </x:row>
    <x:row r="22" spans="1:46" ht="17.449999999999999" customHeight="1">
      <x:c r="A22" s="1133"/>
      <x:c r="B22" s="265" t="s">
        <x:v>344</x:v>
      </x:c>
      <x:c r="C22" s="42" t="s">
        <x:v>367</x:v>
      </x:c>
      <x:c r="D22" s="203" t="s">
        <x:v>378</x:v>
      </x:c>
      <x:c r="E22" s="253"/>
      <x:c r="F22" s="44"/>
      <x:c r="G22" s="44"/>
      <x:c r="H22" s="44"/>
      <x:c r="I22" s="275"/>
      <x:c r="J22" s="306"/>
      <x:c r="K22" s="306"/>
      <x:c r="L22" s="306"/>
      <x:c r="M22" s="135"/>
      <x:c r="N22" s="275"/>
      <x:c r="O22" s="306" t="s">
        <x:v>95</x:v>
      </x:c>
      <x:c r="P22" s="154"/>
      <x:c r="Q22" s="302"/>
      <x:c r="R22" s="605" t="s">
        <x:v>149</x:v>
      </x:c>
      <x:c r="S22" s="292"/>
      <x:c r="T22" s="302"/>
      <x:c r="U22" s="302"/>
      <x:c r="V22" s="302"/>
      <x:c r="W22" s="139"/>
      <x:c r="X22" s="142"/>
      <x:c r="Y22" s="302"/>
      <x:c r="Z22" s="302"/>
      <x:c r="AA22" s="302"/>
      <x:c r="AB22" s="605"/>
      <x:c r="AC22" s="120"/>
      <x:c r="AD22" s="71"/>
      <x:c r="AE22" s="71"/>
      <x:c r="AF22" s="71"/>
      <x:c r="AG22" s="139"/>
      <x:c r="AH22" s="71"/>
      <x:c r="AI22" s="71"/>
      <x:c r="AJ22" s="71"/>
      <x:c r="AK22" s="71"/>
      <x:c r="AL22" s="150"/>
      <x:c r="AM22" s="1029"/>
      <x:c r="AN22" s="1030"/>
      <x:c r="AO22" s="1030"/>
      <x:c r="AP22" s="1030"/>
      <x:c r="AQ22" s="1030"/>
      <x:c r="AR22" s="1031"/>
      <x:c r="AS22" s="286" t="s">
        <x:v>43</x:v>
      </x:c>
      <x:c r="AT22" s="286"/>
    </x:row>
    <x:row r="23" spans="1:46" ht="17.449999999999999" customHeight="1">
      <x:c r="A23" s="1133"/>
      <x:c r="B23" s="294" t="s">
        <x:v>207</x:v>
      </x:c>
      <x:c r="C23" s="208" t="s">
        <x:v>172</x:v>
      </x:c>
      <x:c r="D23" s="169" t="s">
        <x:v>378</x:v>
      </x:c>
      <x:c r="E23" s="253"/>
      <x:c r="F23" s="44"/>
      <x:c r="G23" s="44"/>
      <x:c r="H23" s="44"/>
      <x:c r="I23" s="293"/>
      <x:c r="J23" s="306"/>
      <x:c r="K23" s="306"/>
      <x:c r="L23" s="306"/>
      <x:c r="M23" s="135"/>
      <x:c r="N23" s="275"/>
      <x:c r="O23" s="306"/>
      <x:c r="P23" s="154"/>
      <x:c r="Q23" s="306"/>
      <x:c r="R23" s="605" t="s">
        <x:v>149</x:v>
      </x:c>
      <x:c r="S23" s="292"/>
      <x:c r="T23" s="302"/>
      <x:c r="U23" s="302"/>
      <x:c r="V23" s="302"/>
      <x:c r="W23" s="139"/>
      <x:c r="X23" s="142"/>
      <x:c r="Y23" s="302"/>
      <x:c r="Z23" s="302"/>
      <x:c r="AA23" s="302" t="s">
        <x:v>110</x:v>
      </x:c>
      <x:c r="AB23" s="605"/>
      <x:c r="AC23" s="120"/>
      <x:c r="AD23" s="71"/>
      <x:c r="AE23" s="71"/>
      <x:c r="AF23" s="71"/>
      <x:c r="AG23" s="139"/>
      <x:c r="AH23" s="71"/>
      <x:c r="AI23" s="71"/>
      <x:c r="AJ23" s="71"/>
      <x:c r="AK23" s="71"/>
      <x:c r="AL23" s="150"/>
      <x:c r="AM23" s="1029"/>
      <x:c r="AN23" s="1030"/>
      <x:c r="AO23" s="1030"/>
      <x:c r="AP23" s="1030"/>
      <x:c r="AQ23" s="1030"/>
      <x:c r="AR23" s="1031"/>
      <x:c r="AS23" s="286" t="s">
        <x:v>43</x:v>
      </x:c>
      <x:c r="AT23" s="286" t="s">
        <x:v>145</x:v>
      </x:c>
    </x:row>
    <x:row r="24" spans="1:46" ht="17.449999999999999" customHeight="1">
      <x:c r="A24" s="1133"/>
      <x:c r="B24" s="294" t="s">
        <x:v>229</x:v>
      </x:c>
      <x:c r="C24" s="208" t="s">
        <x:v>312</x:v>
      </x:c>
      <x:c r="D24" s="169" t="s">
        <x:v>375</x:v>
      </x:c>
      <x:c r="E24" s="253"/>
      <x:c r="F24" s="44"/>
      <x:c r="G24" s="44"/>
      <x:c r="H24" s="44"/>
      <x:c r="I24" s="275"/>
      <x:c r="J24" s="306"/>
      <x:c r="K24" s="306"/>
      <x:c r="L24" s="306"/>
      <x:c r="M24" s="135"/>
      <x:c r="N24" s="275"/>
      <x:c r="O24" s="306"/>
      <x:c r="P24" s="154"/>
      <x:c r="Q24" s="306"/>
      <x:c r="R24" s="605" t="s">
        <x:v>149</x:v>
      </x:c>
      <x:c r="S24" s="292"/>
      <x:c r="T24" s="302"/>
      <x:c r="U24" s="302"/>
      <x:c r="V24" s="302"/>
      <x:c r="W24" s="139"/>
      <x:c r="X24" s="142"/>
      <x:c r="Y24" s="302"/>
      <x:c r="Z24" s="302"/>
      <x:c r="AA24" s="302" t="s">
        <x:v>110</x:v>
      </x:c>
      <x:c r="AB24" s="605"/>
      <x:c r="AC24" s="120"/>
      <x:c r="AD24" s="71"/>
      <x:c r="AE24" s="71"/>
      <x:c r="AF24" s="71"/>
      <x:c r="AG24" s="139"/>
      <x:c r="AH24" s="71"/>
      <x:c r="AI24" s="71"/>
      <x:c r="AJ24" s="71"/>
      <x:c r="AK24" s="71"/>
      <x:c r="AL24" s="150"/>
      <x:c r="AM24" s="1029"/>
      <x:c r="AN24" s="1030"/>
      <x:c r="AO24" s="1030"/>
      <x:c r="AP24" s="1030"/>
      <x:c r="AQ24" s="1030"/>
      <x:c r="AR24" s="1031"/>
      <x:c r="AS24" s="286" t="s">
        <x:v>43</x:v>
      </x:c>
      <x:c r="AT24" s="286" t="s">
        <x:v>145</x:v>
      </x:c>
    </x:row>
    <x:row r="25" spans="1:45" ht="17.449999999999999" customHeight="1">
      <x:c r="A25" s="1133"/>
      <x:c r="B25" s="252" t="s">
        <x:v>171</x:v>
      </x:c>
      <x:c r="C25" s="53" t="s">
        <x:v>367</x:v>
      </x:c>
      <x:c r="D25" s="187" t="s">
        <x:v>378</x:v>
      </x:c>
      <x:c r="E25" s="253"/>
      <x:c r="F25" s="44"/>
      <x:c r="G25" s="44"/>
      <x:c r="H25" s="44"/>
      <x:c r="I25" s="296"/>
      <x:c r="J25" s="311"/>
      <x:c r="K25" s="311"/>
      <x:c r="L25" s="311"/>
      <x:c r="M25" s="137"/>
      <x:c r="N25" s="280"/>
      <x:c r="O25" s="311"/>
      <x:c r="P25" s="148"/>
      <x:c r="Q25" s="311"/>
      <x:c r="R25" s="394" t="s">
        <x:v>149</x:v>
      </x:c>
      <x:c r="S25" s="292"/>
      <x:c r="T25" s="302"/>
      <x:c r="U25" s="302"/>
      <x:c r="V25" s="302"/>
      <x:c r="W25" s="139"/>
      <x:c r="X25" s="142"/>
      <x:c r="Y25" s="71"/>
      <x:c r="Z25" s="302"/>
      <x:c r="AA25" s="302"/>
      <x:c r="AB25" s="605"/>
      <x:c r="AC25" s="116"/>
      <x:c r="AD25" s="80"/>
      <x:c r="AE25" s="80"/>
      <x:c r="AF25" s="80"/>
      <x:c r="AG25" s="137"/>
      <x:c r="AH25" s="80"/>
      <x:c r="AI25" s="80"/>
      <x:c r="AJ25" s="80"/>
      <x:c r="AK25" s="80"/>
      <x:c r="AL25" s="152"/>
      <x:c r="AM25" s="1029"/>
      <x:c r="AN25" s="1030"/>
      <x:c r="AO25" s="1030"/>
      <x:c r="AP25" s="1030"/>
      <x:c r="AQ25" s="1030"/>
      <x:c r="AR25" s="1031"/>
      <x:c r="AS25" s="286" t="s">
        <x:v>43</x:v>
      </x:c>
    </x:row>
    <x:row r="26" spans="1:46" ht="16.75">
      <x:c r="A26" s="1134"/>
      <x:c r="B26" s="374" t="s">
        <x:v>192</x:v>
      </x:c>
      <x:c r="C26" s="557" t="s">
        <x:v>367</x:v>
      </x:c>
      <x:c r="D26" s="818" t="s">
        <x:v>375</x:v>
      </x:c>
      <x:c r="E26" s="218"/>
      <x:c r="F26" s="56"/>
      <x:c r="G26" s="56"/>
      <x:c r="H26" s="56"/>
      <x:c r="I26" s="296"/>
      <x:c r="J26" s="311"/>
      <x:c r="K26" s="311"/>
      <x:c r="L26" s="311"/>
      <x:c r="M26" s="137"/>
      <x:c r="N26" s="280"/>
      <x:c r="O26" s="311"/>
      <x:c r="P26" s="148"/>
      <x:c r="Q26" s="311"/>
      <x:c r="R26" s="394"/>
      <x:c r="S26" s="280"/>
      <x:c r="T26" s="311"/>
      <x:c r="U26" s="311"/>
      <x:c r="V26" s="311"/>
      <x:c r="W26" s="137"/>
      <x:c r="X26" s="144"/>
      <x:c r="Y26" s="80"/>
      <x:c r="Z26" s="311"/>
      <x:c r="AA26" s="80"/>
      <x:c r="AB26" s="117"/>
      <x:c r="AC26" s="116"/>
      <x:c r="AD26" s="80"/>
      <x:c r="AE26" s="80"/>
      <x:c r="AF26" s="80"/>
      <x:c r="AG26" s="137"/>
      <x:c r="AH26" s="80"/>
      <x:c r="AI26" s="80"/>
      <x:c r="AJ26" s="80"/>
      <x:c r="AK26" s="80"/>
      <x:c r="AL26" s="152"/>
      <x:c r="AM26" s="1035"/>
      <x:c r="AN26" s="1036"/>
      <x:c r="AO26" s="1036"/>
      <x:c r="AP26" s="1036"/>
      <x:c r="AQ26" s="1036"/>
      <x:c r="AR26" s="1037"/>
      <x:c r="AS26" s="286"/>
      <x:c r="AT26" s="286"/>
    </x:row>
    <x:row r="27" spans="1:44" ht="16.75">
      <x:c r="A27" s="54"/>
      <x:c r="B27" s="94"/>
      <x:c r="C27" s="74"/>
      <x:c r="D27" s="74"/>
      <x:c r="E27" s="74"/>
      <x:c r="F27" s="74"/>
      <x:c r="G27" s="74"/>
      <x:c r="H27" s="74"/>
      <x:c r="I27" s="105"/>
      <x:c r="J27" s="105"/>
      <x:c r="K27" s="105"/>
      <x:c r="L27" s="105"/>
      <x:c r="M27" s="105"/>
      <x:c r="N27" s="105"/>
      <x:c r="O27" s="309" t="s">
        <x:v>348</x:v>
      </x:c>
      <x:c r="P27" s="105"/>
      <x:c r="Q27" s="105"/>
      <x:c r="R27" s="341" t="s">
        <x:v>231</x:v>
      </x:c>
      <x:c r="S27" s="105"/>
      <x:c r="T27" s="105"/>
      <x:c r="U27" s="105"/>
      <x:c r="V27" s="105"/>
      <x:c r="W27" s="105"/>
      <x:c r="X27" s="105"/>
      <x:c r="Y27" s="105"/>
      <x:c r="Z27" s="105"/>
      <x:c r="AA27" s="337" t="s">
        <x:v>118</x:v>
      </x:c>
      <x:c r="AB27" s="337" t="s">
        <x:v>272</x:v>
      </x:c>
      <x:c r="AC27" s="105" t="s">
        <x:v>177</x:v>
      </x:c>
      <x:c r="AD27" s="105"/>
      <x:c r="AE27" s="105"/>
      <x:c r="AF27" s="105"/>
      <x:c r="AG27" s="105"/>
      <x:c r="AH27" s="105"/>
      <x:c r="AI27" s="105"/>
      <x:c r="AJ27" s="105"/>
      <x:c r="AK27" s="105"/>
      <x:c r="AL27" s="105"/>
      <x:c r="AM27" s="54"/>
      <x:c r="AN27" s="54"/>
      <x:c r="AO27" s="54"/>
      <x:c r="AP27" s="54"/>
      <x:c r="AQ27" s="54"/>
      <x:c r="AR27" s="54"/>
    </x:row>
    <x:row r="28" spans="1:46" ht="16.75" customHeight="1">
      <x:c r="A28" s="1132" t="s">
        <x:v>129</x:v>
      </x:c>
      <x:c r="B28" s="55" t="s">
        <x:v>343</x:v>
      </x:c>
      <x:c r="C28" s="55" t="s">
        <x:v>159</x:v>
      </x:c>
      <x:c r="D28" s="63" t="s">
        <x:v>375</x:v>
      </x:c>
      <x:c r="E28" s="45"/>
      <x:c r="F28" s="45"/>
      <x:c r="G28" s="45"/>
      <x:c r="H28" s="45"/>
      <x:c r="I28" s="376"/>
      <x:c r="J28" s="307"/>
      <x:c r="K28" s="307"/>
      <x:c r="L28" s="153"/>
      <x:c r="M28" s="134"/>
      <x:c r="N28" s="395"/>
      <x:c r="O28" s="307"/>
      <x:c r="P28" s="153"/>
      <x:c r="Q28" s="593"/>
      <x:c r="R28" s="606" t="s">
        <x:v>149</x:v>
      </x:c>
      <x:c r="S28" s="665"/>
      <x:c r="T28" s="593"/>
      <x:c r="U28" s="593"/>
      <x:c r="V28" s="593"/>
      <x:c r="W28" s="138"/>
      <x:c r="X28" s="141"/>
      <x:c r="Y28" s="145"/>
      <x:c r="Z28" s="593"/>
      <x:c r="AA28" s="593"/>
      <x:c r="AB28" s="121"/>
      <x:c r="AC28" s="119"/>
      <x:c r="AD28" s="57"/>
      <x:c r="AE28" s="57"/>
      <x:c r="AF28" s="57"/>
      <x:c r="AG28" s="138"/>
      <x:c r="AH28" s="57"/>
      <x:c r="AI28" s="57"/>
      <x:c r="AJ28" s="57"/>
      <x:c r="AK28" s="57"/>
      <x:c r="AL28" s="149"/>
      <x:c r="AM28" s="1026"/>
      <x:c r="AN28" s="1027"/>
      <x:c r="AO28" s="1027"/>
      <x:c r="AP28" s="1027"/>
      <x:c r="AQ28" s="1027"/>
      <x:c r="AR28" s="1028"/>
      <x:c r="AS28" s="885" t="s">
        <x:v>306</x:v>
      </x:c>
      <x:c r="AT28" s="286"/>
    </x:row>
    <x:row r="29" spans="1:46">
      <x:c r="A29" s="1133"/>
      <x:c r="B29" s="50" t="s">
        <x:v>188</x:v>
      </x:c>
      <x:c r="C29" s="50" t="s">
        <x:v>275</x:v>
      </x:c>
      <x:c r="D29" s="64" t="s">
        <x:v>375</x:v>
      </x:c>
      <x:c r="E29" s="48"/>
      <x:c r="F29" s="48"/>
      <x:c r="G29" s="48"/>
      <x:c r="H29" s="48"/>
      <x:c r="I29" s="275"/>
      <x:c r="J29" s="306"/>
      <x:c r="K29" s="306"/>
      <x:c r="L29" s="306"/>
      <x:c r="M29" s="135"/>
      <x:c r="N29" s="288"/>
      <x:c r="O29" s="306"/>
      <x:c r="P29" s="154"/>
      <x:c r="Q29" s="302"/>
      <x:c r="R29" s="605" t="s">
        <x:v>149</x:v>
      </x:c>
      <x:c r="S29" s="292"/>
      <x:c r="T29" s="302"/>
      <x:c r="U29" s="302"/>
      <x:c r="V29" s="302"/>
      <x:c r="W29" s="139"/>
      <x:c r="X29" s="142"/>
      <x:c r="Y29" s="302" t="s">
        <x:v>81</x:v>
      </x:c>
      <x:c r="Z29" s="302"/>
      <x:c r="AA29" s="302"/>
      <x:c r="AB29" s="122"/>
      <x:c r="AC29" s="120"/>
      <x:c r="AD29" s="71"/>
      <x:c r="AE29" s="71"/>
      <x:c r="AF29" s="71"/>
      <x:c r="AG29" s="139"/>
      <x:c r="AH29" s="71"/>
      <x:c r="AI29" s="71"/>
      <x:c r="AJ29" s="71"/>
      <x:c r="AK29" s="71"/>
      <x:c r="AL29" s="150"/>
      <x:c r="AM29" s="1029" t="s">
        <x:v>427</x:v>
      </x:c>
      <x:c r="AN29" s="1030"/>
      <x:c r="AO29" s="1030"/>
      <x:c r="AP29" s="1030"/>
      <x:c r="AQ29" s="1030"/>
      <x:c r="AR29" s="1031"/>
      <x:c r="AS29" s="286" t="s">
        <x:v>43</x:v>
      </x:c>
      <x:c r="AT29" s="286" t="s">
        <x:v>145</x:v>
      </x:c>
    </x:row>
    <x:row r="30" spans="1:46">
      <x:c r="A30" s="1133"/>
      <x:c r="B30" s="192" t="s">
        <x:v>402</x:v>
      </x:c>
      <x:c r="C30" s="190" t="s">
        <x:v>275</x:v>
      </x:c>
      <x:c r="D30" s="191" t="s">
        <x:v>375</x:v>
      </x:c>
      <x:c r="E30" s="79"/>
      <x:c r="F30" s="79"/>
      <x:c r="G30" s="79"/>
      <x:c r="H30" s="79"/>
      <x:c r="I30" s="91"/>
      <x:c r="J30" s="61"/>
      <x:c r="K30" s="308"/>
      <x:c r="L30" s="308" t="s">
        <x:v>255</x:v>
      </x:c>
      <x:c r="M30" s="136"/>
      <x:c r="N30" s="288" t="s">
        <x:v>124</x:v>
      </x:c>
      <x:c r="O30" s="306"/>
      <x:c r="P30" s="155"/>
      <x:c r="Q30" s="308"/>
      <x:c r="R30" s="605" t="s">
        <x:v>149</x:v>
      </x:c>
      <x:c r="S30" s="356" t="s">
        <x:v>238</x:v>
      </x:c>
      <x:c r="T30" s="357"/>
      <x:c r="U30" s="357"/>
      <x:c r="V30" s="357"/>
      <x:c r="W30" s="140"/>
      <x:c r="X30" s="143"/>
      <x:c r="Y30" s="357"/>
      <x:c r="Z30" s="357"/>
      <x:c r="AA30" s="357"/>
      <x:c r="AB30" s="115"/>
      <x:c r="AC30" s="114"/>
      <x:c r="AD30" s="77"/>
      <x:c r="AE30" s="77"/>
      <x:c r="AF30" s="77"/>
      <x:c r="AG30" s="140"/>
      <x:c r="AH30" s="77"/>
      <x:c r="AI30" s="77"/>
      <x:c r="AJ30" s="77"/>
      <x:c r="AK30" s="77"/>
      <x:c r="AL30" s="151"/>
      <x:c r="AM30" s="176"/>
      <x:c r="AN30" s="177"/>
      <x:c r="AO30" s="177"/>
      <x:c r="AP30" s="177"/>
      <x:c r="AQ30" s="177"/>
      <x:c r="AR30" s="178"/>
      <x:c r="AS30" s="286" t="s">
        <x:v>43</x:v>
      </x:c>
      <x:c r="AT30" s="286" t="s">
        <x:v>145</x:v>
      </x:c>
    </x:row>
    <x:row r="31" spans="1:46">
      <x:c r="A31" s="1133"/>
      <x:c r="B31" s="192" t="s">
        <x:v>280</x:v>
      </x:c>
      <x:c r="C31" s="190" t="s">
        <x:v>218</x:v>
      </x:c>
      <x:c r="D31" s="191" t="s">
        <x:v>375</x:v>
      </x:c>
      <x:c r="E31" s="79"/>
      <x:c r="F31" s="79"/>
      <x:c r="G31" s="79"/>
      <x:c r="H31" s="79"/>
      <x:c r="I31" s="91"/>
      <x:c r="J31" s="61"/>
      <x:c r="K31" s="308"/>
      <x:c r="L31" s="308"/>
      <x:c r="M31" s="136"/>
      <x:c r="N31" s="288"/>
      <x:c r="O31" s="306"/>
      <x:c r="P31" s="155"/>
      <x:c r="Q31" s="308"/>
      <x:c r="R31" s="605"/>
      <x:c r="S31" s="356"/>
      <x:c r="T31" s="357"/>
      <x:c r="U31" s="77"/>
      <x:c r="V31" s="357" t="s">
        <x:v>223</x:v>
      </x:c>
      <x:c r="W31" s="140"/>
      <x:c r="X31" s="143"/>
      <x:c r="Y31" s="357" t="s">
        <x:v>192</x:v>
      </x:c>
      <x:c r="Z31" s="357" t="s">
        <x:v>252</x:v>
      </x:c>
      <x:c r="AA31" s="357" t="s">
        <x:v>294</x:v>
      </x:c>
      <x:c r="AB31" s="115"/>
      <x:c r="AC31" s="114"/>
      <x:c r="AD31" s="77"/>
      <x:c r="AE31" s="77"/>
      <x:c r="AF31" s="77"/>
      <x:c r="AG31" s="140"/>
      <x:c r="AH31" s="77"/>
      <x:c r="AI31" s="77"/>
      <x:c r="AJ31" s="77"/>
      <x:c r="AK31" s="77"/>
      <x:c r="AL31" s="151"/>
      <x:c r="AM31" s="1102" t="s">
        <x:v>429</x:v>
      </x:c>
      <x:c r="AN31" s="1103"/>
      <x:c r="AO31" s="1103"/>
      <x:c r="AP31" s="1103"/>
      <x:c r="AQ31" s="1103"/>
      <x:c r="AR31" s="1104"/>
      <x:c r="AS31" s="286"/>
      <x:c r="AT31" s="286"/>
    </x:row>
    <x:row r="32" spans="1:48" s="28" customFormat="1">
      <x:c r="A32" s="1133"/>
      <x:c r="B32" s="185"/>
      <x:c r="C32" s="732"/>
      <x:c r="D32" s="733"/>
      <x:c r="E32" s="983"/>
      <x:c r="F32" s="983"/>
      <x:c r="G32" s="983"/>
      <x:c r="H32" s="983"/>
      <x:c r="I32" s="381"/>
      <x:c r="J32" s="320"/>
      <x:c r="K32" s="320"/>
      <x:c r="L32" s="320"/>
      <x:c r="M32" s="717"/>
      <x:c r="N32" s="473"/>
      <x:c r="O32" s="173"/>
      <x:c r="P32" s="320"/>
      <x:c r="Q32" s="320"/>
      <x:c r="R32" s="678"/>
      <x:c r="S32" s="382"/>
      <x:c r="T32" s="383"/>
      <x:c r="U32" s="383"/>
      <x:c r="V32" s="383"/>
      <x:c r="W32" s="384"/>
      <x:c r="X32" s="382"/>
      <x:c r="Y32" s="383"/>
      <x:c r="Z32" s="383"/>
      <x:c r="AA32" s="383"/>
      <x:c r="AB32" s="384"/>
      <x:c r="AC32" s="382"/>
      <x:c r="AD32" s="383"/>
      <x:c r="AE32" s="383"/>
      <x:c r="AF32" s="383"/>
      <x:c r="AG32" s="384"/>
      <x:c r="AH32" s="383"/>
      <x:c r="AI32" s="383"/>
      <x:c r="AJ32" s="383"/>
      <x:c r="AK32" s="383"/>
      <x:c r="AL32" s="718"/>
      <x:c r="AM32" s="1171"/>
      <x:c r="AN32" s="1172"/>
      <x:c r="AO32" s="1172"/>
      <x:c r="AP32" s="1172"/>
      <x:c r="AQ32" s="1172"/>
      <x:c r="AR32" s="1173"/>
      <x:c r="AS32" s="768"/>
      <x:c r="AT32" s="768"/>
      <x:c r="AU32" s="719"/>
      <x:c r="AV32" s="719"/>
    </x:row>
    <x:row r="33" spans="1:44">
      <x:c r="A33" s="1208"/>
      <x:c r="B33" s="50"/>
      <x:c r="C33" s="50"/>
      <x:c r="D33" s="64"/>
      <x:c r="E33" s="82"/>
      <x:c r="F33" s="82"/>
      <x:c r="G33" s="82"/>
      <x:c r="H33" s="79"/>
      <x:c r="I33" s="91"/>
      <x:c r="J33" s="61"/>
      <x:c r="K33" s="61"/>
      <x:c r="L33" s="308" t="s">
        <x:v>195</x:v>
      </x:c>
      <x:c r="M33" s="136"/>
      <x:c r="N33" s="91"/>
      <x:c r="O33" s="61"/>
      <x:c r="P33" s="155"/>
      <x:c r="Q33" s="594" t="s">
        <x:v>395</x:v>
      </x:c>
      <x:c r="R33" s="115"/>
      <x:c r="S33" s="114"/>
      <x:c r="T33" s="77"/>
      <x:c r="U33" s="77"/>
      <x:c r="V33" s="77"/>
      <x:c r="W33" s="140"/>
      <x:c r="X33" s="143"/>
      <x:c r="Y33" s="77"/>
      <x:c r="Z33" s="77"/>
      <x:c r="AA33" s="77"/>
      <x:c r="AB33" s="115"/>
      <x:c r="AC33" s="114"/>
      <x:c r="AD33" s="77"/>
      <x:c r="AE33" s="77"/>
      <x:c r="AF33" s="77"/>
      <x:c r="AG33" s="140"/>
      <x:c r="AH33" s="77"/>
      <x:c r="AI33" s="77"/>
      <x:c r="AJ33" s="77"/>
      <x:c r="AK33" s="77"/>
      <x:c r="AL33" s="151"/>
      <x:c r="AM33" s="1057"/>
      <x:c r="AN33" s="1058"/>
      <x:c r="AO33" s="1058"/>
      <x:c r="AP33" s="1058"/>
      <x:c r="AQ33" s="1058"/>
      <x:c r="AR33" s="1059"/>
    </x:row>
    <x:row r="34" spans="1:46" ht="18.75" customHeight="1">
      <x:c r="A34" s="230" t="s">
        <x:v>311</x:v>
      </x:c>
      <x:c r="B34" s="231" t="s">
        <x:v>395</x:v>
      </x:c>
      <x:c r="C34" s="232" t="s">
        <x:v>209</x:v>
      </x:c>
      <x:c r="D34" s="217" t="s">
        <x:v>375</x:v>
      </x:c>
      <x:c r="E34" s="56"/>
      <x:c r="F34" s="56"/>
      <x:c r="G34" s="56"/>
      <x:c r="H34" s="219"/>
      <x:c r="I34" s="601"/>
      <x:c r="J34" s="348"/>
      <x:c r="K34" s="348"/>
      <x:c r="L34" s="349" t="s">
        <x:v>173</x:v>
      </x:c>
      <x:c r="M34" s="350"/>
      <x:c r="N34" s="602"/>
      <x:c r="O34" s="603" t="s">
        <x:v>160</x:v>
      </x:c>
      <x:c r="P34" s="355"/>
      <x:c r="Q34" s="348"/>
      <x:c r="R34" s="351"/>
      <x:c r="S34" s="446"/>
      <x:c r="T34" s="348"/>
      <x:c r="U34" s="349"/>
      <x:c r="V34" s="349"/>
      <x:c r="W34" s="350"/>
      <x:c r="X34" s="354"/>
      <x:c r="Y34" s="349"/>
      <x:c r="Z34" s="349"/>
      <x:c r="AA34" s="349" t="s">
        <x:v>94</x:v>
      </x:c>
      <x:c r="AB34" s="940" t="s">
        <x:v>313</x:v>
      </x:c>
      <x:c r="AC34" s="347"/>
      <x:c r="AD34" s="348"/>
      <x:c r="AE34" s="348"/>
      <x:c r="AF34" s="348"/>
      <x:c r="AG34" s="350"/>
      <x:c r="AH34" s="348"/>
      <x:c r="AI34" s="348"/>
      <x:c r="AJ34" s="348"/>
      <x:c r="AK34" s="348"/>
      <x:c r="AL34" s="352"/>
      <x:c r="AM34" s="1138" t="s">
        <x:v>415</x:v>
      </x:c>
      <x:c r="AN34" s="1139"/>
      <x:c r="AO34" s="1139"/>
      <x:c r="AP34" s="1139"/>
      <x:c r="AQ34" s="1139"/>
      <x:c r="AR34" s="1140"/>
      <x:c r="AS34" s="286" t="s">
        <x:v>43</x:v>
      </x:c>
      <x:c r="AT34" s="286" t="s">
        <x:v>145</x:v>
      </x:c>
    </x:row>
    <x:row r="35" spans="1:44">
      <x:c r="A35" s="54"/>
      <x:c r="B35" s="94"/>
      <x:c r="C35" s="74"/>
      <x:c r="D35" s="74"/>
      <x:c r="E35" s="74"/>
      <x:c r="F35" s="74"/>
      <x:c r="G35" s="74"/>
      <x:c r="H35" s="74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  <x:c r="V35" s="105"/>
      <x:c r="W35" s="105"/>
      <x:c r="X35" s="105"/>
      <x:c r="Y35" s="105"/>
      <x:c r="Z35" s="105"/>
      <x:c r="AA35" s="105"/>
      <x:c r="AB35" s="105"/>
      <x:c r="AC35" s="105"/>
      <x:c r="AD35" s="105"/>
      <x:c r="AE35" s="105"/>
      <x:c r="AF35" s="105"/>
      <x:c r="AG35" s="105"/>
      <x:c r="AH35" s="105"/>
      <x:c r="AI35" s="105"/>
      <x:c r="AJ35" s="105"/>
      <x:c r="AK35" s="105"/>
      <x:c r="AL35" s="105"/>
      <x:c r="AM35" s="54"/>
      <x:c r="AN35" s="54"/>
      <x:c r="AO35" s="54"/>
      <x:c r="AP35" s="54"/>
      <x:c r="AQ35" s="54"/>
      <x:c r="AR35" s="54"/>
    </x:row>
    <x:row r="36" spans="1:46" ht="16.75" customHeight="1">
      <x:c r="A36" s="1209" t="s">
        <x:v>39</x:v>
      </x:c>
      <x:c r="B36" s="63" t="s">
        <x:v>168</x:v>
      </x:c>
      <x:c r="C36" s="63" t="s">
        <x:v>218</x:v>
      </x:c>
      <x:c r="D36" s="241" t="s">
        <x:v>375</x:v>
      </x:c>
      <x:c r="E36" s="752"/>
      <x:c r="F36" s="752"/>
      <x:c r="G36" s="752"/>
      <x:c r="H36" s="752"/>
      <x:c r="I36" s="753"/>
      <x:c r="J36" s="754"/>
      <x:c r="K36" s="754"/>
      <x:c r="L36" s="754" t="s">
        <x:v>89</x:v>
      </x:c>
      <x:c r="M36" s="755"/>
      <x:c r="N36" s="753"/>
      <x:c r="O36" s="754" t="s">
        <x:v>113</x:v>
      </x:c>
      <x:c r="P36" s="756"/>
      <x:c r="Q36" s="754"/>
      <x:c r="R36" s="757" t="s">
        <x:v>149</x:v>
      </x:c>
      <x:c r="S36" s="665"/>
      <x:c r="T36" s="593"/>
      <x:c r="U36" s="593"/>
      <x:c r="V36" s="593"/>
      <x:c r="W36" s="138"/>
      <x:c r="X36" s="141"/>
      <x:c r="Y36" s="145"/>
      <x:c r="Z36" s="145"/>
      <x:c r="AA36" s="145"/>
      <x:c r="AB36" s="606" t="s">
        <x:v>305</x:v>
      </x:c>
      <x:c r="AC36" s="760"/>
      <x:c r="AD36" s="758"/>
      <x:c r="AE36" s="758"/>
      <x:c r="AF36" s="758"/>
      <x:c r="AG36" s="759"/>
      <x:c r="AH36" s="758"/>
      <x:c r="AI36" s="758"/>
      <x:c r="AJ36" s="758"/>
      <x:c r="AK36" s="758"/>
      <x:c r="AL36" s="761"/>
      <x:c r="AM36" s="1126" t="s">
        <x:v>105</x:v>
      </x:c>
      <x:c r="AN36" s="1127"/>
      <x:c r="AO36" s="1127"/>
      <x:c r="AP36" s="1127"/>
      <x:c r="AQ36" s="1127"/>
      <x:c r="AR36" s="1128"/>
      <x:c r="AS36" s="269"/>
      <x:c r="AT36" s="269"/>
    </x:row>
    <x:row r="37" spans="1:46">
      <x:c r="A37" s="1210"/>
      <x:c r="B37" s="72" t="s">
        <x:v>352</x:v>
      </x:c>
      <x:c r="C37" s="53" t="s">
        <x:v>275</x:v>
      </x:c>
      <x:c r="D37" s="66" t="s">
        <x:v>375</x:v>
      </x:c>
      <x:c r="E37" s="762"/>
      <x:c r="F37" s="762"/>
      <x:c r="G37" s="762"/>
      <x:c r="H37" s="762"/>
      <x:c r="I37" s="763"/>
      <x:c r="J37" s="336"/>
      <x:c r="K37" s="336"/>
      <x:c r="L37" s="336"/>
      <x:c r="M37" s="764"/>
      <x:c r="N37" s="763"/>
      <x:c r="O37" s="336"/>
      <x:c r="P37" s="765"/>
      <x:c r="Q37" s="336"/>
      <x:c r="R37" s="600" t="s">
        <x:v>149</x:v>
      </x:c>
      <x:c r="S37" s="292"/>
      <x:c r="T37" s="302"/>
      <x:c r="U37" s="302"/>
      <x:c r="V37" s="302" t="s">
        <x:v>279</x:v>
      </x:c>
      <x:c r="W37" s="139"/>
      <x:c r="X37" s="142"/>
      <x:c r="Y37" s="302"/>
      <x:c r="Z37" s="302"/>
      <x:c r="AA37" s="302"/>
      <x:c r="AB37" s="605"/>
      <x:c r="AC37" s="766"/>
      <x:c r="AD37" s="199"/>
      <x:c r="AE37" s="199"/>
      <x:c r="AF37" s="199"/>
      <x:c r="AG37" s="750"/>
      <x:c r="AH37" s="199"/>
      <x:c r="AI37" s="199"/>
      <x:c r="AJ37" s="199"/>
      <x:c r="AK37" s="199"/>
      <x:c r="AL37" s="767"/>
      <x:c r="AM37" s="1029"/>
      <x:c r="AN37" s="1030"/>
      <x:c r="AO37" s="1030"/>
      <x:c r="AP37" s="1030"/>
      <x:c r="AQ37" s="1030"/>
      <x:c r="AR37" s="1031"/>
      <x:c r="AS37" s="286" t="s">
        <x:v>43</x:v>
      </x:c>
      <x:c r="AT37" s="286"/>
    </x:row>
    <x:row r="38" spans="1:47">
      <x:c r="A38" s="1210"/>
      <x:c r="B38" s="53" t="s">
        <x:v>336</x:v>
      </x:c>
      <x:c r="C38" s="53" t="s">
        <x:v>172</x:v>
      </x:c>
      <x:c r="D38" s="53" t="s">
        <x:v>378</x:v>
      </x:c>
      <x:c r="E38" s="48"/>
      <x:c r="F38" s="48"/>
      <x:c r="G38" s="48"/>
      <x:c r="H38" s="48"/>
      <x:c r="I38" s="275"/>
      <x:c r="J38" s="306"/>
      <x:c r="K38" s="306"/>
      <x:c r="L38" s="306"/>
      <x:c r="M38" s="135"/>
      <x:c r="N38" s="275"/>
      <x:c r="O38" s="306"/>
      <x:c r="P38" s="154"/>
      <x:c r="Q38" s="306"/>
      <x:c r="R38" s="605" t="s">
        <x:v>149</x:v>
      </x:c>
      <x:c r="S38" s="292"/>
      <x:c r="T38" s="302"/>
      <x:c r="U38" s="302"/>
      <x:c r="V38" s="302"/>
      <x:c r="W38" s="139"/>
      <x:c r="X38" s="142"/>
      <x:c r="Y38" s="302"/>
      <x:c r="Z38" s="302"/>
      <x:c r="AA38" s="302"/>
      <x:c r="AB38" s="605"/>
      <x:c r="AC38" s="120"/>
      <x:c r="AD38" s="71"/>
      <x:c r="AE38" s="71"/>
      <x:c r="AF38" s="71"/>
      <x:c r="AG38" s="139"/>
      <x:c r="AH38" s="71"/>
      <x:c r="AI38" s="71"/>
      <x:c r="AJ38" s="71"/>
      <x:c r="AK38" s="71"/>
      <x:c r="AL38" s="150"/>
      <x:c r="AM38" s="1029"/>
      <x:c r="AN38" s="1030"/>
      <x:c r="AO38" s="1030"/>
      <x:c r="AP38" s="1030"/>
      <x:c r="AQ38" s="1030"/>
      <x:c r="AR38" s="1031"/>
      <x:c r="AS38" s="286" t="s">
        <x:v>43</x:v>
      </x:c>
      <x:c r="AT38" s="286"/>
      <x:c r="AU38" s="286"/>
    </x:row>
    <x:row r="39" spans="1:47">
      <x:c r="A39" s="1210"/>
      <x:c r="B39" s="53"/>
      <x:c r="C39" s="53"/>
      <x:c r="D39" s="53"/>
      <x:c r="E39" s="48"/>
      <x:c r="F39" s="48"/>
      <x:c r="G39" s="48"/>
      <x:c r="H39" s="48"/>
      <x:c r="I39" s="275"/>
      <x:c r="J39" s="306"/>
      <x:c r="K39" s="306"/>
      <x:c r="L39" s="306"/>
      <x:c r="M39" s="135"/>
      <x:c r="N39" s="275"/>
      <x:c r="O39" s="306"/>
      <x:c r="P39" s="154"/>
      <x:c r="Q39" s="306"/>
      <x:c r="R39" s="605"/>
      <x:c r="S39" s="292"/>
      <x:c r="T39" s="71"/>
      <x:c r="U39" s="71"/>
      <x:c r="V39" s="71"/>
      <x:c r="W39" s="139"/>
      <x:c r="X39" s="142"/>
      <x:c r="Y39" s="147" t="s">
        <x:v>210</x:v>
      </x:c>
      <x:c r="Z39" s="71"/>
      <x:c r="AA39" s="71"/>
      <x:c r="AB39" s="122"/>
      <x:c r="AC39" s="120"/>
      <x:c r="AD39" s="71"/>
      <x:c r="AE39" s="71"/>
      <x:c r="AF39" s="71"/>
      <x:c r="AG39" s="139"/>
      <x:c r="AH39" s="71"/>
      <x:c r="AI39" s="71"/>
      <x:c r="AJ39" s="71"/>
      <x:c r="AK39" s="71"/>
      <x:c r="AL39" s="150"/>
      <x:c r="AM39" s="1029"/>
      <x:c r="AN39" s="1030"/>
      <x:c r="AO39" s="1030"/>
      <x:c r="AP39" s="1030"/>
      <x:c r="AQ39" s="1030"/>
      <x:c r="AR39" s="1031"/>
      <x:c r="AS39" s="286"/>
      <x:c r="AT39" s="286"/>
      <x:c r="AU39" s="286"/>
    </x:row>
    <x:row r="40" spans="1:46" s="38" customFormat="1">
      <x:c r="A40" s="1210"/>
      <x:c r="B40" s="53"/>
      <x:c r="C40" s="50"/>
      <x:c r="D40" s="50"/>
      <x:c r="E40" s="48"/>
      <x:c r="F40" s="48"/>
      <x:c r="G40" s="48"/>
      <x:c r="H40" s="48"/>
      <x:c r="I40" s="277"/>
      <x:c r="J40" s="308"/>
      <x:c r="K40" s="308"/>
      <x:c r="L40" s="308"/>
      <x:c r="M40" s="136"/>
      <x:c r="N40" s="277"/>
      <x:c r="O40" s="308"/>
      <x:c r="P40" s="155"/>
      <x:c r="Q40" s="308"/>
      <x:c r="R40" s="605"/>
      <x:c r="S40" s="143"/>
      <x:c r="T40" s="147"/>
      <x:c r="U40" s="147"/>
      <x:c r="V40" s="147"/>
      <x:c r="W40" s="140"/>
      <x:c r="X40" s="143"/>
      <x:c r="Y40" s="147" t="s">
        <x:v>242</x:v>
      </x:c>
      <x:c r="Z40" s="77"/>
      <x:c r="AA40" s="77"/>
      <x:c r="AB40" s="115"/>
      <x:c r="AC40" s="114"/>
      <x:c r="AD40" s="77"/>
      <x:c r="AE40" s="77"/>
      <x:c r="AF40" s="77"/>
      <x:c r="AG40" s="140"/>
      <x:c r="AH40" s="77"/>
      <x:c r="AI40" s="77"/>
      <x:c r="AJ40" s="77"/>
      <x:c r="AK40" s="77"/>
      <x:c r="AL40" s="151"/>
      <x:c r="AM40" s="1102"/>
      <x:c r="AN40" s="1103"/>
      <x:c r="AO40" s="1103"/>
      <x:c r="AP40" s="1103"/>
      <x:c r="AQ40" s="1103"/>
      <x:c r="AR40" s="1104"/>
      <x:c r="AS40" s="286"/>
      <x:c r="AT40" s="286"/>
    </x:row>
    <x:row r="41" spans="1:47" s="38" customFormat="1">
      <x:c r="A41" s="1211"/>
      <x:c r="B41" s="50"/>
      <x:c r="C41" s="50"/>
      <x:c r="D41" s="166"/>
      <x:c r="E41" s="48"/>
      <x:c r="F41" s="48"/>
      <x:c r="G41" s="48"/>
      <x:c r="H41" s="48"/>
      <x:c r="I41" s="277"/>
      <x:c r="J41" s="308"/>
      <x:c r="K41" s="308"/>
      <x:c r="L41" s="308"/>
      <x:c r="M41" s="136"/>
      <x:c r="N41" s="277"/>
      <x:c r="O41" s="308"/>
      <x:c r="P41" s="155"/>
      <x:c r="Q41" s="308"/>
      <x:c r="R41" s="605"/>
      <x:c r="S41" s="356"/>
      <x:c r="T41" s="77"/>
      <x:c r="U41" s="77"/>
      <x:c r="V41" s="77"/>
      <x:c r="W41" s="140"/>
      <x:c r="X41" s="143"/>
      <x:c r="Y41" s="77"/>
      <x:c r="Z41" s="77"/>
      <x:c r="AA41" s="77"/>
      <x:c r="AB41" s="115"/>
      <x:c r="AC41" s="114"/>
      <x:c r="AD41" s="77"/>
      <x:c r="AE41" s="77"/>
      <x:c r="AF41" s="77"/>
      <x:c r="AG41" s="140"/>
      <x:c r="AH41" s="77"/>
      <x:c r="AI41" s="77"/>
      <x:c r="AJ41" s="77"/>
      <x:c r="AK41" s="77"/>
      <x:c r="AL41" s="151"/>
      <x:c r="AM41" s="1205"/>
      <x:c r="AN41" s="1206"/>
      <x:c r="AO41" s="1206"/>
      <x:c r="AP41" s="1206"/>
      <x:c r="AQ41" s="1206"/>
      <x:c r="AR41" s="1207"/>
      <x:c r="AS41" s="269"/>
      <x:c r="AT41" s="269"/>
      <x:c r="AU41" s="286"/>
    </x:row>
    <x:row r="42" spans="1:46" ht="17.149999999999999">
      <x:c r="A42" s="513" t="s">
        <x:v>311</x:v>
      </x:c>
      <x:c r="B42" s="519" t="s">
        <x:v>253</x:v>
      </x:c>
      <x:c r="C42" s="514" t="s">
        <x:v>209</x:v>
      </x:c>
      <x:c r="D42" s="515" t="s">
        <x:v>378</x:v>
      </x:c>
      <x:c r="E42" s="255"/>
      <x:c r="F42" s="47"/>
      <x:c r="G42" s="47"/>
      <x:c r="H42" s="305"/>
      <x:c r="I42" s="505"/>
      <x:c r="J42" s="516"/>
      <x:c r="K42" s="516"/>
      <x:c r="L42" s="516"/>
      <x:c r="M42" s="510"/>
      <x:c r="N42" s="505"/>
      <x:c r="O42" s="516"/>
      <x:c r="P42" s="507"/>
      <x:c r="Q42" s="516"/>
      <x:c r="R42" s="608" t="s">
        <x:v>149</x:v>
      </x:c>
      <x:c r="S42" s="505"/>
      <x:c r="T42" s="516" t="s">
        <x:v>56</x:v>
      </x:c>
      <x:c r="U42" s="516"/>
      <x:c r="V42" s="507"/>
      <x:c r="W42" s="510"/>
      <x:c r="X42" s="509"/>
      <x:c r="Y42" s="516"/>
      <x:c r="Z42" s="516"/>
      <x:c r="AA42" s="895"/>
      <x:c r="AB42" s="896" t="s">
        <x:v>150</x:v>
      </x:c>
      <x:c r="AC42" s="508"/>
      <x:c r="AD42" s="506"/>
      <x:c r="AE42" s="506"/>
      <x:c r="AF42" s="506"/>
      <x:c r="AG42" s="510"/>
      <x:c r="AH42" s="508"/>
      <x:c r="AI42" s="506"/>
      <x:c r="AJ42" s="506"/>
      <x:c r="AK42" s="506"/>
      <x:c r="AL42" s="517"/>
      <x:c r="AM42" s="1204"/>
      <x:c r="AN42" s="1139"/>
      <x:c r="AO42" s="1139"/>
      <x:c r="AP42" s="1139"/>
      <x:c r="AQ42" s="1139"/>
      <x:c r="AR42" s="1140"/>
      <x:c r="AS42" s="286" t="s">
        <x:v>43</x:v>
      </x:c>
      <x:c r="AT42" s="286"/>
    </x:row>
    <x:row r="43" spans="1:46" ht="16.5" customHeight="1">
      <x:c r="A43" s="518" t="s">
        <x:v>311</x:v>
      </x:c>
      <x:c r="B43" s="519" t="s">
        <x:v>191</x:v>
      </x:c>
      <x:c r="C43" s="368" t="s">
        <x:v>209</x:v>
      </x:c>
      <x:c r="D43" s="520" t="s">
        <x:v>378</x:v>
      </x:c>
      <x:c r="E43" s="521"/>
      <x:c r="F43" s="346"/>
      <x:c r="G43" s="346"/>
      <x:c r="H43" s="522"/>
      <x:c r="I43" s="523"/>
      <x:c r="J43" s="524"/>
      <x:c r="K43" s="525" t="s">
        <x:v>84</x:v>
      </x:c>
      <x:c r="L43" s="526" t="s">
        <x:v>123</x:v>
      </x:c>
      <x:c r="M43" s="527"/>
      <x:c r="N43" s="528"/>
      <x:c r="O43" s="349"/>
      <x:c r="P43" s="355" t="s">
        <x:v>334</x:v>
      </x:c>
      <x:c r="Q43" s="349"/>
      <x:c r="R43" s="607" t="s">
        <x:v>149</x:v>
      </x:c>
      <x:c r="S43" s="528"/>
      <x:c r="T43" s="349"/>
      <x:c r="U43" s="349"/>
      <x:c r="V43" s="349"/>
      <x:c r="W43" s="529"/>
      <x:c r="X43" s="531"/>
      <x:c r="Y43" s="349"/>
      <x:c r="Z43" s="349"/>
      <x:c r="AA43" s="349"/>
      <x:c r="AB43" s="607"/>
      <x:c r="AC43" s="530"/>
      <x:c r="AD43" s="348"/>
      <x:c r="AE43" s="348"/>
      <x:c r="AF43" s="348"/>
      <x:c r="AG43" s="532"/>
      <x:c r="AH43" s="530"/>
      <x:c r="AI43" s="348"/>
      <x:c r="AJ43" s="348"/>
      <x:c r="AK43" s="348"/>
      <x:c r="AL43" s="529"/>
      <x:c r="AM43" s="1138" t="s">
        <x:v>434</x:v>
      </x:c>
      <x:c r="AN43" s="1139"/>
      <x:c r="AO43" s="1139"/>
      <x:c r="AP43" s="1139"/>
      <x:c r="AQ43" s="1139"/>
      <x:c r="AR43" s="1140"/>
      <x:c r="AS43" s="286" t="s">
        <x:v>43</x:v>
      </x:c>
      <x:c r="AT43" s="286" t="s">
        <x:v>145</x:v>
      </x:c>
    </x:row>
    <x:row r="44" spans="1:51" s="23" customFormat="1" ht="16.5" customHeight="1">
      <x:c r="A44" s="504"/>
      <x:c r="B44" s="367"/>
      <x:c r="C44" s="367"/>
      <x:c r="D44" s="216"/>
      <x:c r="E44" s="511"/>
      <x:c r="F44" s="511"/>
      <x:c r="G44" s="511"/>
      <x:c r="H44" s="511"/>
      <x:c r="I44" s="472"/>
      <x:c r="J44" s="503"/>
      <x:c r="K44" s="503"/>
      <x:c r="L44" s="472"/>
      <x:c r="M44" s="472"/>
      <x:c r="N44" s="476"/>
      <x:c r="O44" s="476"/>
      <x:c r="P44" s="476"/>
      <x:c r="Q44" s="476"/>
      <x:c r="R44" s="476"/>
      <x:c r="S44" s="476"/>
      <x:c r="T44" s="476"/>
      <x:c r="U44" s="476"/>
      <x:c r="V44" s="476"/>
      <x:c r="W44" s="476"/>
      <x:c r="X44" s="476"/>
      <x:c r="Y44" s="476"/>
      <x:c r="Z44" s="476"/>
      <x:c r="AA44" s="476"/>
      <x:c r="AB44" s="476"/>
      <x:c r="AC44" s="476"/>
      <x:c r="AD44" s="476"/>
      <x:c r="AE44" s="476"/>
      <x:c r="AF44" s="476"/>
      <x:c r="AG44" s="476"/>
      <x:c r="AH44" s="476"/>
      <x:c r="AI44" s="476"/>
      <x:c r="AJ44" s="476"/>
      <x:c r="AK44" s="476"/>
      <x:c r="AL44" s="476"/>
      <x:c r="AM44" s="512"/>
      <x:c r="AN44" s="512"/>
      <x:c r="AO44" s="512"/>
      <x:c r="AP44" s="512"/>
      <x:c r="AQ44" s="512"/>
      <x:c r="AR44" s="512"/>
      <x:c r="AS44" s="4"/>
      <x:c r="AY44" s="828"/>
    </x:row>
    <x:row r="45" spans="1:46" ht="16.75" customHeight="1">
      <x:c r="A45" s="1115">
        <x:v>0.29166666666666669</x:v>
      </x:c>
      <x:c r="B45" s="55"/>
      <x:c r="C45" s="63"/>
      <x:c r="D45" s="204"/>
      <x:c r="E45" s="45"/>
      <x:c r="F45" s="45"/>
      <x:c r="G45" s="45"/>
      <x:c r="H45" s="45"/>
      <x:c r="I45" s="274"/>
      <x:c r="J45" s="307"/>
      <x:c r="K45" s="307" t="s">
        <x:v>108</x:v>
      </x:c>
      <x:c r="L45" s="153"/>
      <x:c r="M45" s="134"/>
      <x:c r="N45" s="395"/>
      <x:c r="O45" s="153"/>
      <x:c r="P45" s="153"/>
      <x:c r="Q45" s="145"/>
      <x:c r="R45" s="138"/>
      <x:c r="S45" s="119"/>
      <x:c r="T45" s="57"/>
      <x:c r="U45" s="57"/>
      <x:c r="V45" s="57"/>
      <x:c r="W45" s="121"/>
      <x:c r="X45" s="141"/>
      <x:c r="Y45" s="57"/>
      <x:c r="Z45" s="57"/>
      <x:c r="AA45" s="57"/>
      <x:c r="AB45" s="121"/>
      <x:c r="AC45" s="119"/>
      <x:c r="AD45" s="57"/>
      <x:c r="AE45" s="57"/>
      <x:c r="AF45" s="57"/>
      <x:c r="AG45" s="138"/>
      <x:c r="AH45" s="57"/>
      <x:c r="AI45" s="57"/>
      <x:c r="AJ45" s="57"/>
      <x:c r="AK45" s="57"/>
      <x:c r="AL45" s="149"/>
      <x:c r="AM45" s="1026"/>
      <x:c r="AN45" s="1027"/>
      <x:c r="AO45" s="1027"/>
      <x:c r="AP45" s="1027"/>
      <x:c r="AQ45" s="1027"/>
      <x:c r="AR45" s="1028"/>
      <x:c r="AS45" s="269"/>
      <x:c r="AT45" s="269"/>
    </x:row>
    <x:row r="46" spans="1:44">
      <x:c r="A46" s="1116"/>
      <x:c r="B46" s="53"/>
      <x:c r="C46" s="53"/>
      <x:c r="D46" s="166"/>
      <x:c r="E46" s="48"/>
      <x:c r="F46" s="48"/>
      <x:c r="G46" s="48"/>
      <x:c r="H46" s="48"/>
      <x:c r="I46" s="275"/>
      <x:c r="J46" s="306"/>
      <x:c r="K46" s="306" t="s">
        <x:v>108</x:v>
      </x:c>
      <x:c r="L46" s="154"/>
      <x:c r="M46" s="135"/>
      <x:c r="N46" s="288"/>
      <x:c r="O46" s="154"/>
      <x:c r="P46" s="154"/>
      <x:c r="Q46" s="146"/>
      <x:c r="R46" s="139"/>
      <x:c r="S46" s="120"/>
      <x:c r="T46" s="71"/>
      <x:c r="U46" s="71"/>
      <x:c r="V46" s="71"/>
      <x:c r="W46" s="122"/>
      <x:c r="X46" s="142"/>
      <x:c r="Y46" s="71"/>
      <x:c r="Z46" s="71"/>
      <x:c r="AA46" s="71"/>
      <x:c r="AB46" s="122"/>
      <x:c r="AC46" s="120"/>
      <x:c r="AD46" s="71"/>
      <x:c r="AE46" s="71"/>
      <x:c r="AF46" s="71"/>
      <x:c r="AG46" s="139"/>
      <x:c r="AH46" s="71"/>
      <x:c r="AI46" s="71"/>
      <x:c r="AJ46" s="71"/>
      <x:c r="AK46" s="71"/>
      <x:c r="AL46" s="150"/>
      <x:c r="AM46" s="1029"/>
      <x:c r="AN46" s="1030"/>
      <x:c r="AO46" s="1030"/>
      <x:c r="AP46" s="1030"/>
      <x:c r="AQ46" s="1030"/>
      <x:c r="AR46" s="1031"/>
    </x:row>
    <x:row r="47" spans="1:44">
      <x:c r="A47" s="1116"/>
      <x:c r="B47" s="72"/>
      <x:c r="C47" s="71"/>
      <x:c r="D47" s="53"/>
      <x:c r="E47" s="48"/>
      <x:c r="F47" s="48"/>
      <x:c r="G47" s="48"/>
      <x:c r="H47" s="48"/>
      <x:c r="I47" s="90"/>
      <x:c r="J47" s="72"/>
      <x:c r="K47" s="72"/>
      <x:c r="L47" s="306" t="s">
        <x:v>399</x:v>
      </x:c>
      <x:c r="M47" s="135"/>
      <x:c r="N47" s="90"/>
      <x:c r="O47" s="72"/>
      <x:c r="P47" s="154"/>
      <x:c r="Q47" s="72"/>
      <x:c r="R47" s="122"/>
      <x:c r="S47" s="120"/>
      <x:c r="T47" s="71"/>
      <x:c r="U47" s="71"/>
      <x:c r="V47" s="71"/>
      <x:c r="W47" s="122"/>
      <x:c r="X47" s="142"/>
      <x:c r="Y47" s="71"/>
      <x:c r="Z47" s="71"/>
      <x:c r="AA47" s="71"/>
      <x:c r="AB47" s="122"/>
      <x:c r="AC47" s="120"/>
      <x:c r="AD47" s="71"/>
      <x:c r="AE47" s="71"/>
      <x:c r="AF47" s="71"/>
      <x:c r="AG47" s="139"/>
      <x:c r="AH47" s="71"/>
      <x:c r="AI47" s="71"/>
      <x:c r="AJ47" s="71"/>
      <x:c r="AK47" s="71"/>
      <x:c r="AL47" s="150"/>
      <x:c r="AM47" s="1029"/>
      <x:c r="AN47" s="1030"/>
      <x:c r="AO47" s="1030"/>
      <x:c r="AP47" s="1030"/>
      <x:c r="AQ47" s="1030"/>
      <x:c r="AR47" s="1031"/>
    </x:row>
    <x:row r="48" spans="1:44">
      <x:c r="A48" s="1116"/>
      <x:c r="B48" s="72"/>
      <x:c r="C48" s="71"/>
      <x:c r="D48" s="53"/>
      <x:c r="E48" s="79"/>
      <x:c r="F48" s="79"/>
      <x:c r="G48" s="79"/>
      <x:c r="H48" s="79"/>
      <x:c r="I48" s="90"/>
      <x:c r="J48" s="72"/>
      <x:c r="K48" s="72"/>
      <x:c r="L48" s="72"/>
      <x:c r="M48" s="135"/>
      <x:c r="N48" s="90"/>
      <x:c r="O48" s="72"/>
      <x:c r="P48" s="154"/>
      <x:c r="Q48" s="72"/>
      <x:c r="R48" s="122"/>
      <x:c r="S48" s="120"/>
      <x:c r="T48" s="71"/>
      <x:c r="U48" s="71"/>
      <x:c r="V48" s="71"/>
      <x:c r="W48" s="122"/>
      <x:c r="X48" s="142"/>
      <x:c r="Y48" s="71"/>
      <x:c r="Z48" s="71"/>
      <x:c r="AA48" s="71"/>
      <x:c r="AB48" s="122"/>
      <x:c r="AC48" s="120"/>
      <x:c r="AD48" s="71"/>
      <x:c r="AE48" s="71"/>
      <x:c r="AF48" s="71"/>
      <x:c r="AG48" s="139"/>
      <x:c r="AH48" s="71"/>
      <x:c r="AI48" s="71"/>
      <x:c r="AJ48" s="71"/>
      <x:c r="AK48" s="71"/>
      <x:c r="AL48" s="150"/>
      <x:c r="AM48" s="1029"/>
      <x:c r="AN48" s="1030"/>
      <x:c r="AO48" s="1030"/>
      <x:c r="AP48" s="1030"/>
      <x:c r="AQ48" s="1030"/>
      <x:c r="AR48" s="1031"/>
    </x:row>
    <x:row r="49" spans="1:44">
      <x:c r="A49" s="1116"/>
      <x:c r="B49" s="72"/>
      <x:c r="C49" s="71"/>
      <x:c r="D49" s="53"/>
      <x:c r="E49" s="79"/>
      <x:c r="F49" s="79"/>
      <x:c r="G49" s="79"/>
      <x:c r="H49" s="79"/>
      <x:c r="I49" s="91"/>
      <x:c r="J49" s="61"/>
      <x:c r="K49" s="61"/>
      <x:c r="L49" s="61"/>
      <x:c r="M49" s="136"/>
      <x:c r="N49" s="91"/>
      <x:c r="O49" s="61"/>
      <x:c r="P49" s="155"/>
      <x:c r="Q49" s="111"/>
      <x:c r="R49" s="115"/>
      <x:c r="S49" s="114"/>
      <x:c r="T49" s="77"/>
      <x:c r="U49" s="77"/>
      <x:c r="V49" s="77"/>
      <x:c r="W49" s="115"/>
      <x:c r="X49" s="143"/>
      <x:c r="Y49" s="77"/>
      <x:c r="Z49" s="77"/>
      <x:c r="AA49" s="77"/>
      <x:c r="AB49" s="115"/>
      <x:c r="AC49" s="114"/>
      <x:c r="AD49" s="77"/>
      <x:c r="AE49" s="77"/>
      <x:c r="AF49" s="77"/>
      <x:c r="AG49" s="140"/>
      <x:c r="AH49" s="77"/>
      <x:c r="AI49" s="77"/>
      <x:c r="AJ49" s="77"/>
      <x:c r="AK49" s="77"/>
      <x:c r="AL49" s="151"/>
      <x:c r="AM49" s="1032"/>
      <x:c r="AN49" s="1033"/>
      <x:c r="AO49" s="1033"/>
      <x:c r="AP49" s="1033"/>
      <x:c r="AQ49" s="1033"/>
      <x:c r="AR49" s="1034"/>
    </x:row>
    <x:row r="50" spans="1:44" ht="16.75">
      <x:c r="A50" s="1117"/>
      <x:c r="B50" s="88"/>
      <x:c r="C50" s="80"/>
      <x:c r="D50" s="73"/>
      <x:c r="E50" s="49"/>
      <x:c r="F50" s="49"/>
      <x:c r="G50" s="49"/>
      <x:c r="H50" s="49"/>
      <x:c r="I50" s="116"/>
      <x:c r="J50" s="80"/>
      <x:c r="K50" s="80"/>
      <x:c r="L50" s="80"/>
      <x:c r="M50" s="137"/>
      <x:c r="N50" s="116"/>
      <x:c r="O50" s="80"/>
      <x:c r="P50" s="148"/>
      <x:c r="Q50" s="80"/>
      <x:c r="R50" s="117"/>
      <x:c r="S50" s="116"/>
      <x:c r="T50" s="80"/>
      <x:c r="U50" s="80"/>
      <x:c r="V50" s="80"/>
      <x:c r="W50" s="117"/>
      <x:c r="X50" s="144"/>
      <x:c r="Y50" s="80"/>
      <x:c r="Z50" s="80"/>
      <x:c r="AA50" s="80"/>
      <x:c r="AB50" s="117"/>
      <x:c r="AC50" s="116"/>
      <x:c r="AD50" s="80"/>
      <x:c r="AE50" s="80"/>
      <x:c r="AF50" s="80"/>
      <x:c r="AG50" s="137"/>
      <x:c r="AH50" s="80"/>
      <x:c r="AI50" s="80"/>
      <x:c r="AJ50" s="80"/>
      <x:c r="AK50" s="80"/>
      <x:c r="AL50" s="152"/>
      <x:c r="AM50" s="1035"/>
      <x:c r="AN50" s="1036"/>
      <x:c r="AO50" s="1036"/>
      <x:c r="AP50" s="1036"/>
      <x:c r="AQ50" s="1036"/>
      <x:c r="AR50" s="1037"/>
    </x:row>
    <x:row r="51" spans="1:44">
      <x:c r="A51" s="54"/>
      <x:c r="B51" s="83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7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</x:row>
    <x:row r="52" spans="1:44">
      <x:c r="A52" s="1021" t="s">
        <x:v>189</x:v>
      </x:c>
      <x:c r="B52" s="1021">
        <x:f>COUNTA(B6:$B$50)</x:f>
        <x:v>16</x:v>
      </x:c>
      <x:c r="C52" s="43"/>
      <x:c r="D52" s="1021"/>
      <x:c r="E52" s="1021">
        <x:f>COUNTIF(E4:E50,"=y")</x:f>
        <x:v>0</x:v>
      </x:c>
      <x:c r="F52" s="1021">
        <x:f>COUNTIF(F4:F50,"=y")</x:f>
        <x:v>0</x:v>
      </x:c>
      <x:c r="G52" s="1021">
        <x:f>COUNTIF(G4:G50,"=y")</x:f>
        <x:v>0</x:v>
      </x:c>
      <x:c r="H52" s="1021">
        <x:f>COUNTIF(H4:H50,"=y")</x:f>
        <x:v>0</x:v>
      </x:c>
      <x:c r="I52" s="1020"/>
      <x:c r="J52" s="1020"/>
      <x:c r="K52" s="1020"/>
      <x:c r="L52" s="1020"/>
      <x:c r="M52" s="1020"/>
      <x:c r="N52" s="1020"/>
      <x:c r="O52" s="1020"/>
      <x:c r="P52" s="1020"/>
      <x:c r="Q52" s="1020"/>
      <x:c r="R52" s="1020"/>
      <x:c r="S52" s="1020"/>
      <x:c r="T52" s="1020"/>
      <x:c r="U52" s="1020"/>
      <x:c r="V52" s="1020"/>
      <x:c r="W52" s="1020"/>
      <x:c r="X52" s="1020"/>
      <x:c r="Y52" s="1020"/>
      <x:c r="Z52" s="1020"/>
      <x:c r="AA52" s="1020"/>
      <x:c r="AB52" s="1020"/>
      <x:c r="AC52" s="1020"/>
      <x:c r="AD52" s="1020"/>
      <x:c r="AE52" s="1020"/>
      <x:c r="AF52" s="1020"/>
      <x:c r="AG52" s="1020"/>
      <x:c r="AH52" s="1020"/>
      <x:c r="AI52" s="1020"/>
      <x:c r="AJ52" s="1020"/>
      <x:c r="AK52" s="1020"/>
      <x:c r="AL52" s="1020"/>
      <x:c r="AM52" s="54"/>
      <x:c r="AN52" s="54"/>
      <x:c r="AO52" s="54"/>
      <x:c r="AP52" s="54"/>
      <x:c r="AQ52" s="54"/>
      <x:c r="AR52" s="54"/>
    </x:row>
    <x:row r="53" spans="1:44">
      <x:c r="A53" s="1021"/>
      <x:c r="B53" s="1021"/>
      <x:c r="C53" s="43"/>
      <x:c r="D53" s="1021"/>
      <x:c r="E53" s="1021"/>
      <x:c r="F53" s="1021"/>
      <x:c r="G53" s="1021"/>
      <x:c r="H53" s="1021"/>
      <x:c r="I53" s="1020"/>
      <x:c r="J53" s="1020"/>
      <x:c r="K53" s="1020"/>
      <x:c r="L53" s="1020"/>
      <x:c r="M53" s="1020"/>
      <x:c r="N53" s="1020"/>
      <x:c r="O53" s="1020"/>
      <x:c r="P53" s="1020"/>
      <x:c r="Q53" s="1020"/>
      <x:c r="R53" s="1020"/>
      <x:c r="S53" s="1020"/>
      <x:c r="T53" s="1020"/>
      <x:c r="U53" s="1020"/>
      <x:c r="V53" s="1020"/>
      <x:c r="W53" s="1020"/>
      <x:c r="X53" s="1020"/>
      <x:c r="Y53" s="1020"/>
      <x:c r="Z53" s="1020"/>
      <x:c r="AA53" s="1020"/>
      <x:c r="AB53" s="1020"/>
      <x:c r="AC53" s="1020"/>
      <x:c r="AD53" s="1020"/>
      <x:c r="AE53" s="1020"/>
      <x:c r="AF53" s="1020"/>
      <x:c r="AG53" s="1020"/>
      <x:c r="AH53" s="1020"/>
      <x:c r="AI53" s="1020"/>
      <x:c r="AJ53" s="1020"/>
      <x:c r="AK53" s="1020"/>
      <x:c r="AL53" s="1020"/>
      <x:c r="AM53" s="54"/>
      <x:c r="AN53" s="54"/>
      <x:c r="AO53" s="54"/>
      <x:c r="AP53" s="54"/>
      <x:c r="AQ53" s="54"/>
      <x:c r="AR53" s="54"/>
    </x:row>
  </x:sheetData>
  <x:mergeCells count="99">
    <x:mergeCell ref="AL52:AL53"/>
    <x:mergeCell ref="AF52:AF53"/>
    <x:mergeCell ref="AG52:AG53"/>
    <x:mergeCell ref="AH52:AH53"/>
    <x:mergeCell ref="AI52:AI53"/>
    <x:mergeCell ref="AJ52:AJ53"/>
    <x:mergeCell ref="AK52:AK53"/>
    <x:mergeCell ref="Z52:Z53"/>
    <x:mergeCell ref="AA52:AA53"/>
    <x:mergeCell ref="AB52:AB53"/>
    <x:mergeCell ref="AC52:AC53"/>
    <x:mergeCell ref="AD52:AD53"/>
    <x:mergeCell ref="AE52:AE53"/>
    <x:mergeCell ref="T52:T53"/>
    <x:mergeCell ref="U52:U53"/>
    <x:mergeCell ref="V52:V53"/>
    <x:mergeCell ref="W52:W53"/>
    <x:mergeCell ref="X52:X53"/>
    <x:mergeCell ref="Y52:Y53"/>
    <x:mergeCell ref="N52:N53"/>
    <x:mergeCell ref="O52:O53"/>
    <x:mergeCell ref="P52:P53"/>
    <x:mergeCell ref="Q52:Q53"/>
    <x:mergeCell ref="R52:R53"/>
    <x:mergeCell ref="S52:S53"/>
    <x:mergeCell ref="H52:H53"/>
    <x:mergeCell ref="I52:I53"/>
    <x:mergeCell ref="J52:J53"/>
    <x:mergeCell ref="K52:K53"/>
    <x:mergeCell ref="L52:L53"/>
    <x:mergeCell ref="M52:M53"/>
    <x:mergeCell ref="A52:A53"/>
    <x:mergeCell ref="B52:B53"/>
    <x:mergeCell ref="D52:D53"/>
    <x:mergeCell ref="E52:E53"/>
    <x:mergeCell ref="F52:F53"/>
    <x:mergeCell ref="G52:G53"/>
    <x:mergeCell ref="A45:A50"/>
    <x:mergeCell ref="AM45:AR45"/>
    <x:mergeCell ref="AM46:AR46"/>
    <x:mergeCell ref="AM47:AR47"/>
    <x:mergeCell ref="AM48:AR48"/>
    <x:mergeCell ref="AM49:AR49"/>
    <x:mergeCell ref="AM50:AR50"/>
    <x:mergeCell ref="AM39:AR39"/>
    <x:mergeCell ref="AM42:AR42"/>
    <x:mergeCell ref="AM28:AR28"/>
    <x:mergeCell ref="AM33:AR33"/>
    <x:mergeCell ref="AM34:AR34"/>
    <x:mergeCell ref="AM21:AR21"/>
    <x:mergeCell ref="AM22:AR22"/>
    <x:mergeCell ref="AM23:AR23"/>
    <x:mergeCell ref="AM24:AR24"/>
    <x:mergeCell ref="AM26:AR26"/>
    <x:mergeCell ref="A1:M1"/>
    <x:mergeCell ref="N1:Q1"/>
    <x:mergeCell ref="R1:V1"/>
    <x:mergeCell ref="W1:AA1"/>
    <x:mergeCell ref="AB1:AM1"/>
    <x:mergeCell ref="AN1:AR1"/>
    <x:mergeCell ref="A13:A19"/>
    <x:mergeCell ref="AM13:AR13"/>
    <x:mergeCell ref="AM14:AR14"/>
    <x:mergeCell ref="AM15:AR15"/>
    <x:mergeCell ref="AM16:AR16"/>
    <x:mergeCell ref="AM18:AR18"/>
    <x:mergeCell ref="AM19:AR19"/>
    <x:mergeCell ref="A6:A11"/>
    <x:mergeCell ref="AM6:AR6"/>
    <x:mergeCell ref="AM7:AR7"/>
    <x:mergeCell ref="AM8:AR8"/>
    <x:mergeCell ref="AM9:AR9"/>
    <x:mergeCell ref="AM10:AR10"/>
    <x:mergeCell ref="AM11:AR11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M40:AR40"/>
    <x:mergeCell ref="AM41:AR41"/>
    <x:mergeCell ref="AM29:AR29"/>
    <x:mergeCell ref="AM43:AR43"/>
    <x:mergeCell ref="A28:A33"/>
    <x:mergeCell ref="AM36:AR36"/>
    <x:mergeCell ref="AM37:AR37"/>
    <x:mergeCell ref="AM38:AR38"/>
    <x:mergeCell ref="A36:A41"/>
    <x:mergeCell ref="AM25:AR25"/>
    <x:mergeCell ref="A21:A26"/>
    <x:mergeCell ref="AM32:AR32"/>
    <x:mergeCell ref="AM31:AR31"/>
  </x:mergeCells>
  <x:conditionalFormatting sqref="E8:E10">
    <x:cfRule type="containsText" dxfId="34" priority="143" stopIfTrue="1" operator="containsText" text="N">
      <x:formula>NOT(ISERROR(FIND(UPPER("N"),UPPER(E8))))</x:formula>
      <x:formula>"N"</x:formula>
    </x:cfRule>
  </x:conditionalFormatting>
  <x:conditionalFormatting sqref="E15:E18">
    <x:cfRule type="containsText" dxfId="33" priority="178" stopIfTrue="1" operator="containsText" text="N">
      <x:formula>NOT(ISERROR(FIND(UPPER("N"),UPPER(E15))))</x:formula>
      <x:formula>"N"</x:formula>
    </x:cfRule>
  </x:conditionalFormatting>
  <x:conditionalFormatting sqref="E21:E21">
    <x:cfRule type="containsText" dxfId="32" priority="175" stopIfTrue="1" operator="containsText" text="N">
      <x:formula>NOT(ISERROR(FIND(UPPER("N"),UPPER(E21))))</x:formula>
      <x:formula>"N"</x:formula>
    </x:cfRule>
  </x:conditionalFormatting>
  <x:conditionalFormatting sqref="E28:F28 E29:H29 E32:H34">
    <x:cfRule type="containsText" dxfId="31" priority="137" stopIfTrue="1" operator="containsText" text="N">
      <x:formula>NOT(ISERROR(FIND(UPPER("N"),UPPER(E28))))</x:formula>
      <x:formula>"N"</x:formula>
    </x:cfRule>
  </x:conditionalFormatting>
  <x:conditionalFormatting sqref="E39:H42">
    <x:cfRule type="containsText" dxfId="30" priority="154" stopIfTrue="1" operator="containsText" text="N">
      <x:formula>NOT(ISERROR(FIND(UPPER("N"),UPPER(E39))))</x:formula>
      <x:formula>"N"</x:formula>
    </x:cfRule>
  </x:conditionalFormatting>
  <x:conditionalFormatting sqref="E45:H50">
    <x:cfRule type="containsText" dxfId="29" priority="172" stopIfTrue="1" operator="containsText" text="N">
      <x:formula>NOT(ISERROR(FIND(UPPER("N"),UPPER(E45))))</x:formula>
      <x:formula>"N"</x:formula>
    </x:cfRule>
  </x:conditionalFormatting>
  <x:conditionalFormatting sqref="Q7:Q7">
    <x:cfRule type="containsText" dxfId="28" priority="129" stopIfTrue="1" operator="containsText" text="N">
      <x:formula>NOT(ISERROR(FIND(UPPER("N"),UPPER(Q7))))</x:formula>
      <x:formula>"N"</x:formula>
    </x:cfRule>
  </x:conditionalFormatting>
  <x:conditionalFormatting sqref="Q6:S6 I7:M7 I8:Q11">
    <x:cfRule type="containsText" dxfId="27" priority="130" stopIfTrue="1" operator="containsText" text="N">
      <x:formula>NOT(ISERROR(FIND(UPPER("N"),UPPER(I6))))</x:formula>
      <x:formula>"N"</x:formula>
    </x:cfRule>
  </x:conditionalFormatting>
  <x:conditionalFormatting sqref="S7:S8">
    <x:cfRule type="containsText" dxfId="26" priority="124" stopIfTrue="1" operator="containsText" text="N">
      <x:formula>NOT(ISERROR(FIND(UPPER("N"),UPPER(S7))))</x:formula>
      <x:formula>"N"</x:formula>
    </x:cfRule>
  </x:conditionalFormatting>
  <x:conditionalFormatting sqref="U8:U8">
    <x:cfRule type="containsText" dxfId="25" priority="126" stopIfTrue="1" operator="containsText" text="N">
      <x:formula>NOT(ISERROR(FIND(UPPER("N"),UPPER(U8))))</x:formula>
      <x:formula>"N"</x:formula>
    </x:cfRule>
  </x:conditionalFormatting>
  <x:conditionalFormatting sqref="U37:U37 S37:S37 E36:Q38 S13:S15 O27:O27 I15:Q19 N32:O34 L32:L32 I39:Q43 Q14:Q14 Q45:R45 I46:M46 I47:Q50 Q46:Q46 S29:S29 Q28:S28 I29:M29 I33:M34 P33:Q34 Q29:Q29 U23:U23 S22:S23 Q21:S21 I22:M22 J23:Q24 I26:Q26 Q22:Q22 Q13:R13 I14:M14 I24:I24">
    <x:cfRule type="containsText" dxfId="12" priority="5" stopIfTrue="1" operator="containsText" text="N">
      <x:formula>NOT(ISERROR(FIND(UPPER("N"),UPPER(E13))))</x:formula>
      <x:formula>"N"</x:formula>
    </x:cfRule>
  </x:conditionalFormatting>
  <x:conditionalFormatting sqref="U47:U47 S45:S47">
    <x:cfRule type="containsText" dxfId="12" priority="4" stopIfTrue="1" operator="containsText" text="N">
      <x:formula>NOT(ISERROR(FIND(UPPER("N"),UPPER(S45))))</x:formula>
      <x:formula>"N"</x:formula>
    </x:cfRule>
  </x:conditionalFormatting>
  <x:conditionalFormatting sqref="I25:Q25">
    <x:cfRule type="containsText" dxfId="12" priority="2" stopIfTrue="1" operator="containsText" text="N">
      <x:formula>NOT(ISERROR(FIND(UPPER("N"),UPPER(I25))))</x:formula>
      <x:formula>"N"</x:formula>
    </x:cfRule>
  </x:conditionalFormatting>
  <x:conditionalFormatting sqref="N30:O31 L30:L31 E30:H31">
    <x:cfRule type="containsText" dxfId="12" priority="1" stopIfTrue="1" operator="containsText" text="N">
      <x:formula>NOT(ISERROR(FIND(UPPER("N"),UPPER(E30))))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AX64"/>
  <x:sheetViews>
    <x:sheetView topLeftCell="A1" zoomScale="80" zoomScaleNormal="80" zoomScaleSheetLayoutView="75" workbookViewId="0">
      <x:pane xSplit="0" ySplit="4" topLeftCell="A38" activePane="bottomLeft" state="frozen"/>
      <x:selection pane="bottomLeft" activeCell="AS40" activeCellId="0" sqref="AS40:AS40"/>
    </x:sheetView>
  </x:sheetViews>
  <x:sheetFormatPr defaultColWidth="8.75" defaultRowHeight="16.399999999999999"/>
  <x:cols>
    <x:col min="1" max="1" width="6.75" style="40" bestFit="1" customWidth="1"/>
    <x:col min="2" max="2" width="8.375" style="93" customWidth="1"/>
    <x:col min="3" max="3" width="5.5" style="40" customWidth="1"/>
    <x:col min="4" max="4" width="5.75" style="40" customWidth="1"/>
    <x:col min="5" max="5" width="5.25" style="40" hidden="1" customWidth="1"/>
    <x:col min="6" max="8" width="5.375" style="40" hidden="1" customWidth="1"/>
    <x:col min="9" max="20" width="7.125" style="40" hidden="1" customWidth="1"/>
    <x:col min="21" max="21" width="7.125" style="41" hidden="1" customWidth="1"/>
    <x:col min="22" max="23" width="7.125" style="40" hidden="1" customWidth="1"/>
    <x:col min="24" max="38" width="7.125" style="40" customWidth="1"/>
    <x:col min="39" max="42" width="5.625" style="40" customWidth="1"/>
    <x:col min="44" max="44" width="10.5" style="40" customWidth="1"/>
    <x:col min="45" max="45" width="11.25" style="36" customWidth="1"/>
    <x:col min="46" max="46" width="10.875" style="12" customWidth="1"/>
  </x:cols>
  <x:sheetData>
    <x:row r="1" spans="1:44" ht="25.5" customHeight="1">
      <x:c r="A1" s="1046" t="s">
        <x:v>115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053" t="s">
        <x:v>34</x:v>
      </x:c>
      <x:c r="AO1" s="1053"/>
      <x:c r="AP1" s="1053"/>
      <x:c r="AQ1" s="1053"/>
      <x:c r="AR1" s="1053"/>
    </x:row>
    <x:row r="2" spans="1:44" s="39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69" t="s">
        <x:v>28</x:v>
      </x:c>
      <x:c r="F2" s="69"/>
      <x:c r="G2" s="69"/>
      <x:c r="H2" s="69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066" t="s">
        <x:v>82</x:v>
      </x:c>
      <x:c r="AN2" s="1067"/>
      <x:c r="AO2" s="1067"/>
      <x:c r="AP2" s="1067"/>
      <x:c r="AQ2" s="1067"/>
      <x:c r="AR2" s="1068"/>
    </x:row>
    <x:row r="3" spans="1:44" s="39" customFormat="1">
      <x:c r="A3" s="1079"/>
      <x:c r="B3" s="1079"/>
      <x:c r="C3" s="1061"/>
      <x:c r="D3" s="1063"/>
      <x:c r="E3" s="70"/>
      <x:c r="F3" s="70"/>
      <x:c r="G3" s="70"/>
      <x:c r="H3" s="70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069"/>
      <x:c r="AN3" s="1070"/>
      <x:c r="AO3" s="1070"/>
      <x:c r="AP3" s="1070"/>
      <x:c r="AQ3" s="1070"/>
      <x:c r="AR3" s="1071"/>
    </x:row>
    <x:row r="4" spans="1:48" s="93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247</x:v>
      </x:c>
      <x:c r="J4" s="96" t="s">
        <x:v>307</x:v>
      </x:c>
      <x:c r="K4" s="96" t="s">
        <x:v>333</x:v>
      </x:c>
      <x:c r="L4" s="98" t="s">
        <x:v>329</x:v>
      </x:c>
      <x:c r="M4" s="95"/>
      <x:c r="N4" s="97" t="s">
        <x:v>317</x:v>
      </x:c>
      <x:c r="O4" s="96" t="s">
        <x:v>332</x:v>
      </x:c>
      <x:c r="P4" s="96" t="s">
        <x:v>299</x:v>
      </x:c>
      <x:c r="Q4" s="96" t="s">
        <x:v>296</x:v>
      </x:c>
      <x:c r="R4" s="95" t="s">
        <x:v>283</x:v>
      </x:c>
      <x:c r="S4" s="97" t="s">
        <x:v>338</x:v>
      </x:c>
      <x:c r="T4" s="96" t="s">
        <x:v>297</x:v>
      </x:c>
      <x:c r="U4" s="96" t="s">
        <x:v>285</x:v>
      </x:c>
      <x:c r="V4" s="96" t="s">
        <x:v>274</x:v>
      </x:c>
      <x:c r="W4" s="95"/>
      <x:c r="X4" s="132" t="s">
        <x:v>304</x:v>
      </x:c>
      <x:c r="Y4" s="96" t="s">
        <x:v>263</x:v>
      </x:c>
      <x:c r="Z4" s="96" t="s">
        <x:v>288</x:v>
      </x:c>
      <x:c r="AA4" s="96" t="s">
        <x:v>227</x:v>
      </x:c>
      <x:c r="AB4" s="95"/>
      <x:c r="AC4" s="97" t="s">
        <x:v>243</x:v>
      </x:c>
      <x:c r="AD4" s="96" t="s">
        <x:v>327</x:v>
      </x:c>
      <x:c r="AE4" s="96" t="s">
        <x:v>233</x:v>
      </x:c>
      <x:c r="AF4" s="96" t="s">
        <x:v>309</x:v>
      </x:c>
      <x:c r="AG4" s="95" t="s">
        <x:v>232</x:v>
      </x:c>
      <x:c r="AH4" s="97" t="s">
        <x:v>338</x:v>
      </x:c>
      <x:c r="AI4" s="96" t="s">
        <x:v>297</x:v>
      </x:c>
      <x:c r="AJ4" s="96" t="s">
        <x:v>285</x:v>
      </x:c>
      <x:c r="AK4" s="96" t="s">
        <x:v>274</x:v>
      </x:c>
      <x:c r="AL4" s="98"/>
      <x:c r="AM4" s="1072"/>
      <x:c r="AN4" s="1073"/>
      <x:c r="AO4" s="1073"/>
      <x:c r="AP4" s="1073"/>
      <x:c r="AQ4" s="1073"/>
      <x:c r="AR4" s="1074"/>
      <x:c r="AU4" s="93" t="s">
        <x:v>93</x:v>
      </x:c>
      <x:c r="AV4" s="93" t="s">
        <x:v>133</x:v>
      </x:c>
    </x:row>
    <x:row r="5" spans="1:45" ht="16.5" customHeight="1">
      <x:c r="A5" s="54" t="s">
        <x:v>261</x:v>
      </x:c>
      <x:c r="B5" s="1264" t="s">
        <x:v>4</x:v>
      </x:c>
      <x:c r="C5" s="1264"/>
      <x:c r="D5" s="1264"/>
      <x:c r="E5" s="1264"/>
      <x:c r="F5" s="1264"/>
      <x:c r="G5" s="1264"/>
      <x:c r="H5" s="1264"/>
      <x:c r="I5" s="1264"/>
      <x:c r="J5" s="1264"/>
      <x:c r="K5" s="1264"/>
      <x:c r="L5" s="1264"/>
      <x:c r="M5" s="1264"/>
      <x:c r="N5" s="1264"/>
      <x:c r="O5" s="1264"/>
      <x:c r="P5" s="1264"/>
      <x:c r="Q5" s="1264"/>
      <x:c r="R5" s="1264"/>
      <x:c r="S5" s="1264"/>
      <x:c r="T5" s="1264"/>
      <x:c r="U5" s="1264"/>
      <x:c r="V5" s="1264"/>
      <x:c r="W5" s="1264"/>
      <x:c r="X5" s="1264"/>
      <x:c r="Y5" s="1264"/>
      <x:c r="Z5" s="1264"/>
      <x:c r="AA5" s="1264"/>
      <x:c r="AB5" s="1264"/>
      <x:c r="AC5" s="1264"/>
      <x:c r="AD5" s="1264"/>
      <x:c r="AE5" s="1264"/>
      <x:c r="AF5" s="1264"/>
      <x:c r="AG5" s="1264"/>
      <x:c r="AH5" s="99"/>
      <x:c r="AI5" s="99"/>
      <x:c r="AJ5" s="99"/>
      <x:c r="AK5" s="99"/>
      <x:c r="AL5" s="99"/>
      <x:c r="AM5" s="54"/>
      <x:c r="AN5" s="54"/>
      <x:c r="AO5" s="54"/>
      <x:c r="AP5" s="54"/>
      <x:c r="AQ5" s="54"/>
      <x:c r="AR5" s="54"/>
      <x:c r="AS5" s="9"/>
    </x:row>
    <x:row r="6" spans="1:48" ht="16.5" customHeight="1">
      <x:c r="A6" s="1247">
        <x:v>0.41666666666666669</x:v>
      </x:c>
      <x:c r="B6" s="942" t="s">
        <x:v>340</x:v>
      </x:c>
      <x:c r="C6" s="260" t="s">
        <x:v>159</x:v>
      </x:c>
      <x:c r="D6" s="943" t="s">
        <x:v>378</x:v>
      </x:c>
      <x:c r="E6" s="253"/>
      <x:c r="F6" s="44"/>
      <x:c r="G6" s="44"/>
      <x:c r="H6" s="44"/>
      <x:c r="I6" s="275"/>
      <x:c r="J6" s="327"/>
      <x:c r="K6" s="306"/>
      <x:c r="L6" s="306"/>
      <x:c r="M6" s="135"/>
      <x:c r="N6" s="275" t="s">
        <x:v>364</x:v>
      </x:c>
      <x:c r="O6" s="306"/>
      <x:c r="P6" s="306"/>
      <x:c r="Q6" s="302"/>
      <x:c r="R6" s="139"/>
      <x:c r="S6" s="292"/>
      <x:c r="T6" s="302"/>
      <x:c r="U6" s="302"/>
      <x:c r="V6" s="302"/>
      <x:c r="W6" s="139"/>
      <x:c r="X6" s="142" t="s">
        <x:v>47</x:v>
      </x:c>
      <x:c r="Y6" s="302"/>
      <x:c r="Z6" s="302"/>
      <x:c r="AA6" s="302"/>
      <x:c r="AB6" s="139"/>
      <x:c r="AC6" s="292"/>
      <x:c r="AD6" s="71"/>
      <x:c r="AE6" s="71"/>
      <x:c r="AF6" s="71"/>
      <x:c r="AG6" s="122" t="s">
        <x:v>148</x:v>
      </x:c>
      <x:c r="AH6" s="71"/>
      <x:c r="AI6" s="71"/>
      <x:c r="AJ6" s="71"/>
      <x:c r="AK6" s="71"/>
      <x:c r="AL6" s="150"/>
      <x:c r="AM6" s="1265"/>
      <x:c r="AN6" s="1266"/>
      <x:c r="AO6" s="1266"/>
      <x:c r="AP6" s="1266"/>
      <x:c r="AQ6" s="1266"/>
      <x:c r="AR6" s="1267"/>
      <x:c r="AS6" s="286" t="s">
        <x:v>43</x:v>
      </x:c>
      <x:c r="AT6" s="286" t="s">
        <x:v>145</x:v>
      </x:c>
      <x:c r="AV6" s="2" t="s">
        <x:v>366</x:v>
      </x:c>
    </x:row>
    <x:row r="7" spans="1:48" ht="17.25" customHeight="1">
      <x:c r="A7" s="1248"/>
      <x:c r="B7" s="252" t="s">
        <x:v>358</x:v>
      </x:c>
      <x:c r="C7" s="53" t="s">
        <x:v>237</x:v>
      </x:c>
      <x:c r="D7" s="187" t="s">
        <x:v>378</x:v>
      </x:c>
      <x:c r="E7" s="253"/>
      <x:c r="F7" s="44"/>
      <x:c r="G7" s="44"/>
      <x:c r="H7" s="44"/>
      <x:c r="I7" s="275"/>
      <x:c r="J7" s="327"/>
      <x:c r="K7" s="306"/>
      <x:c r="L7" s="306"/>
      <x:c r="M7" s="135"/>
      <x:c r="N7" s="275" t="s">
        <x:v>364</x:v>
      </x:c>
      <x:c r="O7" s="306"/>
      <x:c r="P7" s="306"/>
      <x:c r="Q7" s="306"/>
      <x:c r="R7" s="139"/>
      <x:c r="S7" s="292"/>
      <x:c r="T7" s="302"/>
      <x:c r="U7" s="302"/>
      <x:c r="V7" s="302"/>
      <x:c r="W7" s="139"/>
      <x:c r="X7" s="442" t="s">
        <x:v>47</x:v>
      </x:c>
      <x:c r="Y7" s="302"/>
      <x:c r="Z7" s="302"/>
      <x:c r="AA7" s="302"/>
      <x:c r="AB7" s="139"/>
      <x:c r="AC7" s="292"/>
      <x:c r="AD7" s="71"/>
      <x:c r="AE7" s="71"/>
      <x:c r="AF7" s="71"/>
      <x:c r="AG7" s="122" t="s">
        <x:v>148</x:v>
      </x:c>
      <x:c r="AH7" s="71"/>
      <x:c r="AI7" s="71"/>
      <x:c r="AJ7" s="71"/>
      <x:c r="AK7" s="71"/>
      <x:c r="AL7" s="150"/>
      <x:c r="AM7" s="1268"/>
      <x:c r="AN7" s="1269"/>
      <x:c r="AO7" s="1269"/>
      <x:c r="AP7" s="1269"/>
      <x:c r="AQ7" s="1269"/>
      <x:c r="AR7" s="1270"/>
      <x:c r="AS7" s="286" t="s">
        <x:v>43</x:v>
      </x:c>
      <x:c r="AT7" s="286" t="s">
        <x:v>145</x:v>
      </x:c>
      <x:c r="AV7" s="2" t="s">
        <x:v>366</x:v>
      </x:c>
    </x:row>
    <x:row r="8" spans="1:46" ht="17.449999999999999" customHeight="1">
      <x:c r="A8" s="1248"/>
      <x:c r="B8" s="564"/>
      <x:c r="C8" s="385"/>
      <x:c r="D8" s="392"/>
      <x:c r="E8" s="730"/>
      <x:c r="F8" s="716"/>
      <x:c r="G8" s="716"/>
      <x:c r="H8" s="716"/>
      <x:c r="I8" s="381"/>
      <x:c r="J8" s="320"/>
      <x:c r="K8" s="320"/>
      <x:c r="L8" s="320"/>
      <x:c r="M8" s="717"/>
      <x:c r="N8" s="381"/>
      <x:c r="O8" s="320"/>
      <x:c r="P8" s="320"/>
      <x:c r="Q8" s="320"/>
      <x:c r="R8" s="384"/>
      <x:c r="S8" s="941"/>
      <x:c r="T8" s="383"/>
      <x:c r="U8" s="383"/>
      <x:c r="V8" s="383"/>
      <x:c r="W8" s="384"/>
      <x:c r="X8" s="382"/>
      <x:c r="Y8" s="185"/>
      <x:c r="Z8" s="185"/>
      <x:c r="AA8" s="185"/>
      <x:c r="AB8" s="384"/>
      <x:c r="AC8" s="382"/>
      <x:c r="AD8" s="383" t="s">
        <x:v>181</x:v>
      </x:c>
      <x:c r="AE8" s="383" t="s">
        <x:v>374</x:v>
      </x:c>
      <x:c r="AF8" s="383"/>
      <x:c r="AG8" s="384"/>
      <x:c r="AH8" s="383"/>
      <x:c r="AI8" s="383"/>
      <x:c r="AJ8" s="383"/>
      <x:c r="AK8" s="383"/>
      <x:c r="AL8" s="718"/>
      <x:c r="AM8" s="1244"/>
      <x:c r="AN8" s="1245"/>
      <x:c r="AO8" s="1245"/>
      <x:c r="AP8" s="1245"/>
      <x:c r="AQ8" s="1245"/>
      <x:c r="AR8" s="1246"/>
      <x:c r="AS8" s="719"/>
      <x:c r="AT8" s="768"/>
    </x:row>
    <x:row r="9" spans="1:46" ht="17.449999999999999" customHeight="1">
      <x:c r="A9" s="1248"/>
      <x:c r="B9" s="564"/>
      <x:c r="C9" s="385"/>
      <x:c r="D9" s="392"/>
      <x:c r="E9" s="730"/>
      <x:c r="F9" s="716"/>
      <x:c r="G9" s="716"/>
      <x:c r="H9" s="716"/>
      <x:c r="I9" s="381"/>
      <x:c r="J9" s="320"/>
      <x:c r="K9" s="320"/>
      <x:c r="L9" s="320"/>
      <x:c r="M9" s="717"/>
      <x:c r="N9" s="381"/>
      <x:c r="O9" s="320"/>
      <x:c r="P9" s="320"/>
      <x:c r="Q9" s="320"/>
      <x:c r="R9" s="384"/>
      <x:c r="S9" s="941"/>
      <x:c r="T9" s="383"/>
      <x:c r="U9" s="383"/>
      <x:c r="V9" s="383"/>
      <x:c r="W9" s="384"/>
      <x:c r="X9" s="196"/>
      <x:c r="Y9" s="385"/>
      <x:c r="Z9" s="385"/>
      <x:c r="AA9" s="385"/>
      <x:c r="AB9" s="384"/>
      <x:c r="AC9" s="382"/>
      <x:c r="AD9" s="383"/>
      <x:c r="AE9" s="383"/>
      <x:c r="AF9" s="383"/>
      <x:c r="AG9" s="384"/>
      <x:c r="AH9" s="383"/>
      <x:c r="AI9" s="383"/>
      <x:c r="AJ9" s="383"/>
      <x:c r="AK9" s="383"/>
      <x:c r="AL9" s="718"/>
      <x:c r="AM9" s="1258"/>
      <x:c r="AN9" s="1259"/>
      <x:c r="AO9" s="1259"/>
      <x:c r="AP9" s="1259"/>
      <x:c r="AQ9" s="1259"/>
      <x:c r="AR9" s="1260"/>
      <x:c r="AS9" s="768"/>
      <x:c r="AT9" s="719"/>
    </x:row>
    <x:row r="10" spans="1:46">
      <x:c r="A10" s="1248"/>
      <x:c r="B10" s="564"/>
      <x:c r="C10" s="385"/>
      <x:c r="D10" s="392"/>
      <x:c r="E10" s="730"/>
      <x:c r="F10" s="716"/>
      <x:c r="G10" s="716"/>
      <x:c r="H10" s="716"/>
      <x:c r="I10" s="381"/>
      <x:c r="J10" s="320"/>
      <x:c r="K10" s="320"/>
      <x:c r="L10" s="320"/>
      <x:c r="M10" s="717"/>
      <x:c r="N10" s="381"/>
      <x:c r="O10" s="320"/>
      <x:c r="P10" s="320"/>
      <x:c r="Q10" s="320"/>
      <x:c r="R10" s="384"/>
      <x:c r="S10" s="941"/>
      <x:c r="T10" s="383"/>
      <x:c r="U10" s="383"/>
      <x:c r="V10" s="383"/>
      <x:c r="W10" s="384"/>
      <x:c r="X10" s="382"/>
      <x:c r="Y10" s="185"/>
      <x:c r="Z10" s="185"/>
      <x:c r="AA10" s="185"/>
      <x:c r="AB10" s="384"/>
      <x:c r="AC10" s="382"/>
      <x:c r="AD10" s="383"/>
      <x:c r="AE10" s="383"/>
      <x:c r="AF10" s="383"/>
      <x:c r="AG10" s="384"/>
      <x:c r="AH10" s="383"/>
      <x:c r="AI10" s="383"/>
      <x:c r="AJ10" s="383"/>
      <x:c r="AK10" s="383"/>
      <x:c r="AL10" s="718"/>
      <x:c r="AM10" s="1244"/>
      <x:c r="AN10" s="1245"/>
      <x:c r="AO10" s="1245"/>
      <x:c r="AP10" s="1245"/>
      <x:c r="AQ10" s="1245"/>
      <x:c r="AR10" s="1246"/>
      <x:c r="AS10" s="719"/>
      <x:c r="AT10" s="719"/>
    </x:row>
    <x:row r="11" spans="1:47" s="22" customFormat="1">
      <x:c r="A11" s="1248"/>
      <x:c r="B11" s="173"/>
      <x:c r="C11" s="173"/>
      <x:c r="D11" s="826"/>
      <x:c r="E11" s="734"/>
      <x:c r="F11" s="735"/>
      <x:c r="G11" s="735"/>
      <x:c r="H11" s="735"/>
      <x:c r="I11" s="173"/>
      <x:c r="J11" s="173"/>
      <x:c r="K11" s="173"/>
      <x:c r="L11" s="173"/>
      <x:c r="M11" s="385"/>
      <x:c r="N11" s="385"/>
      <x:c r="O11" s="385"/>
      <x:c r="P11" s="385"/>
      <x:c r="Q11" s="385"/>
      <x:c r="R11" s="385"/>
      <x:c r="S11" s="385"/>
      <x:c r="T11" s="385"/>
      <x:c r="U11" s="385"/>
      <x:c r="V11" s="385"/>
      <x:c r="W11" s="386"/>
      <x:c r="X11" s="686"/>
      <x:c r="Y11" s="385"/>
      <x:c r="Z11" s="385"/>
      <x:c r="AA11" s="385"/>
      <x:c r="AB11" s="678"/>
      <x:c r="AC11" s="771"/>
      <x:c r="AD11" s="385"/>
      <x:c r="AE11" s="385"/>
      <x:c r="AF11" s="385"/>
      <x:c r="AG11" s="385"/>
      <x:c r="AH11" s="385"/>
      <x:c r="AI11" s="385"/>
      <x:c r="AJ11" s="385"/>
      <x:c r="AK11" s="385"/>
      <x:c r="AL11" s="386"/>
      <x:c r="AM11" s="1171"/>
      <x:c r="AN11" s="1172"/>
      <x:c r="AO11" s="1172"/>
      <x:c r="AP11" s="1172"/>
      <x:c r="AQ11" s="1172"/>
      <x:c r="AR11" s="1173"/>
      <x:c r="AS11" s="719"/>
      <x:c r="AT11" s="719"/>
      <x:c r="AU11" s="2"/>
    </x:row>
    <x:row r="12" spans="1:47" s="25" customFormat="1" ht="16.75" customHeight="1">
      <x:c r="A12" s="1249">
        <x:v>0.041666666666666664</x:v>
      </x:c>
      <x:c r="B12" s="845"/>
      <x:c r="C12" s="846"/>
      <x:c r="D12" s="944"/>
      <x:c r="E12" s="945"/>
      <x:c r="F12" s="847"/>
      <x:c r="G12" s="847"/>
      <x:c r="H12" s="847"/>
      <x:c r="I12" s="848"/>
      <x:c r="J12" s="848"/>
      <x:c r="K12" s="848"/>
      <x:c r="L12" s="848"/>
      <x:c r="M12" s="849"/>
      <x:c r="N12" s="778"/>
      <x:c r="O12" s="850" t="s">
        <x:v>389</x:v>
      </x:c>
      <x:c r="P12" s="850" t="s">
        <x:v>389</x:v>
      </x:c>
      <x:c r="Q12" s="850" t="s">
        <x:v>389</x:v>
      </x:c>
      <x:c r="R12" s="849"/>
      <x:c r="S12" s="778"/>
      <x:c r="T12" s="778"/>
      <x:c r="U12" s="778"/>
      <x:c r="V12" s="778"/>
      <x:c r="W12" s="851"/>
      <x:c r="X12" s="855"/>
      <x:c r="Y12" s="778"/>
      <x:c r="Z12" s="778"/>
      <x:c r="AA12" s="778"/>
      <x:c r="AB12" s="779"/>
      <x:c r="AC12" s="852"/>
      <x:c r="AD12" s="778"/>
      <x:c r="AE12" s="778"/>
      <x:c r="AF12" s="778"/>
      <x:c r="AG12" s="778"/>
      <x:c r="AH12" s="778"/>
      <x:c r="AI12" s="778"/>
      <x:c r="AJ12" s="778"/>
      <x:c r="AK12" s="778"/>
      <x:c r="AL12" s="851"/>
      <x:c r="AM12" s="1241"/>
      <x:c r="AN12" s="1242"/>
      <x:c r="AO12" s="1242"/>
      <x:c r="AP12" s="1242"/>
      <x:c r="AQ12" s="1242"/>
      <x:c r="AR12" s="1243"/>
      <x:c r="AS12" s="2"/>
      <x:c r="AU12" s="2"/>
    </x:row>
    <x:row r="13" spans="1:47" s="6" customFormat="1" ht="16.75" customHeight="1">
      <x:c r="A13" s="946"/>
      <x:c r="B13" s="871"/>
      <x:c r="C13" s="871"/>
      <x:c r="D13" s="869"/>
      <x:c r="E13" s="870"/>
      <x:c r="F13" s="870"/>
      <x:c r="G13" s="870"/>
      <x:c r="H13" s="870"/>
      <x:c r="I13" s="871"/>
      <x:c r="J13" s="871"/>
      <x:c r="K13" s="871"/>
      <x:c r="L13" s="871"/>
      <x:c r="M13" s="872"/>
      <x:c r="N13" s="873"/>
      <x:c r="O13" s="873"/>
      <x:c r="P13" s="873"/>
      <x:c r="Q13" s="873"/>
      <x:c r="R13" s="872"/>
      <x:c r="S13" s="873"/>
      <x:c r="T13" s="873"/>
      <x:c r="U13" s="873"/>
      <x:c r="V13" s="873"/>
      <x:c r="W13" s="873"/>
      <x:c r="X13" s="873"/>
      <x:c r="Y13" s="873"/>
      <x:c r="Z13" s="873"/>
      <x:c r="AA13" s="873"/>
      <x:c r="AB13" s="873"/>
      <x:c r="AC13" s="873"/>
      <x:c r="AD13" s="873"/>
      <x:c r="AE13" s="873"/>
      <x:c r="AF13" s="873"/>
      <x:c r="AG13" s="873"/>
      <x:c r="AH13" s="873"/>
      <x:c r="AI13" s="873"/>
      <x:c r="AJ13" s="873"/>
      <x:c r="AK13" s="873"/>
      <x:c r="AL13" s="873"/>
      <x:c r="AM13" s="874"/>
      <x:c r="AN13" s="874"/>
      <x:c r="AO13" s="874"/>
      <x:c r="AP13" s="874"/>
      <x:c r="AQ13" s="874"/>
      <x:c r="AR13" s="874"/>
      <x:c r="AS13" s="719"/>
      <x:c r="AT13" s="719"/>
      <x:c r="AU13" s="2"/>
    </x:row>
    <x:row r="14" spans="1:45" ht="16.75">
      <x:c r="A14" s="951" t="s">
        <x:v>270</x:v>
      </x:c>
      <x:c r="B14" s="952"/>
      <x:c r="C14" s="953"/>
      <x:c r="D14" s="953"/>
      <x:c r="E14" s="953"/>
      <x:c r="F14" s="953"/>
      <x:c r="G14" s="953"/>
      <x:c r="H14" s="953"/>
      <x:c r="I14" s="782"/>
      <x:c r="J14" s="782"/>
      <x:c r="K14" s="782"/>
      <x:c r="L14" s="782"/>
      <x:c r="M14" s="782"/>
      <x:c r="N14" s="954"/>
      <x:c r="O14" s="782"/>
      <x:c r="P14" s="782"/>
      <x:c r="Q14" s="782"/>
      <x:c r="R14" s="782"/>
      <x:c r="S14" s="782"/>
      <x:c r="T14" s="782"/>
      <x:c r="U14" s="782"/>
      <x:c r="V14" s="782"/>
      <x:c r="W14" s="782"/>
      <x:c r="X14" s="782"/>
      <x:c r="Y14" s="782"/>
      <x:c r="Z14" s="782"/>
      <x:c r="AA14" s="782"/>
      <x:c r="AB14" s="782"/>
      <x:c r="AC14" s="782"/>
      <x:c r="AD14" s="782"/>
      <x:c r="AE14" s="782"/>
      <x:c r="AF14" s="782"/>
      <x:c r="AG14" s="782"/>
      <x:c r="AH14" s="782"/>
      <x:c r="AI14" s="782"/>
      <x:c r="AJ14" s="782"/>
      <x:c r="AK14" s="782"/>
      <x:c r="AL14" s="782"/>
      <x:c r="AM14" s="955"/>
      <x:c r="AN14" s="955"/>
      <x:c r="AO14" s="955"/>
      <x:c r="AP14" s="955"/>
      <x:c r="AQ14" s="955"/>
      <x:c r="AR14" s="955"/>
      <x:c r="AS14" s="2"/>
    </x:row>
    <x:row r="15" spans="1:48" ht="16.5" customHeight="1">
      <x:c r="A15" s="1250" t="s">
        <x:v>16</x:v>
      </x:c>
      <x:c r="B15" s="198" t="s">
        <x:v>347</x:v>
      </x:c>
      <x:c r="C15" s="182" t="s">
        <x:v>172</x:v>
      </x:c>
      <x:c r="D15" s="947" t="s">
        <x:v>378</x:v>
      </x:c>
      <x:c r="E15" s="948"/>
      <x:c r="F15" s="762"/>
      <x:c r="G15" s="762"/>
      <x:c r="H15" s="762"/>
      <x:c r="I15" s="763"/>
      <x:c r="J15" s="336"/>
      <x:c r="K15" s="336"/>
      <x:c r="L15" s="336"/>
      <x:c r="M15" s="949"/>
      <x:c r="N15" s="279"/>
      <x:c r="O15" s="336"/>
      <x:c r="P15" s="336" t="s">
        <x:v>55</x:v>
      </x:c>
      <x:c r="Q15" s="773"/>
      <x:c r="R15" s="600"/>
      <x:c r="S15" s="749"/>
      <x:c r="T15" s="773"/>
      <x:c r="U15" s="773" t="s">
        <x:v>135</x:v>
      </x:c>
      <x:c r="V15" s="773" t="s">
        <x:v>65</x:v>
      </x:c>
      <x:c r="W15" s="750"/>
      <x:c r="X15" s="751" t="s">
        <x:v>47</x:v>
      </x:c>
      <x:c r="Y15" s="773"/>
      <x:c r="Z15" s="773"/>
      <x:c r="AA15" s="773" t="s">
        <x:v>117</x:v>
      </x:c>
      <x:c r="AB15" s="750"/>
      <x:c r="AC15" s="749"/>
      <x:c r="AD15" s="199"/>
      <x:c r="AE15" s="199"/>
      <x:c r="AF15" s="199"/>
      <x:c r="AG15" s="950" t="s">
        <x:v>54</x:v>
      </x:c>
      <x:c r="AH15" s="199"/>
      <x:c r="AI15" s="199"/>
      <x:c r="AJ15" s="199"/>
      <x:c r="AK15" s="199"/>
      <x:c r="AL15" s="767"/>
      <x:c r="AM15" s="1135" t="s">
        <x:v>31</x:v>
      </x:c>
      <x:c r="AN15" s="1136"/>
      <x:c r="AO15" s="1136"/>
      <x:c r="AP15" s="1136"/>
      <x:c r="AQ15" s="1136"/>
      <x:c r="AR15" s="1137"/>
      <x:c r="AS15" s="286" t="s">
        <x:v>43</x:v>
      </x:c>
      <x:c r="AT15" s="286"/>
      <x:c r="AV15" s="16"/>
    </x:row>
    <x:row r="16" spans="1:46" ht="17.25" customHeight="1">
      <x:c r="A16" s="1250"/>
      <x:c r="B16" s="201" t="s">
        <x:v>368</x:v>
      </x:c>
      <x:c r="C16" s="53" t="s">
        <x:v>218</x:v>
      </x:c>
      <x:c r="D16" s="187" t="s">
        <x:v>378</x:v>
      </x:c>
      <x:c r="E16" s="253"/>
      <x:c r="F16" s="44"/>
      <x:c r="G16" s="44"/>
      <x:c r="H16" s="44"/>
      <x:c r="I16" s="275"/>
      <x:c r="J16" s="306"/>
      <x:c r="K16" s="306"/>
      <x:c r="L16" s="306"/>
      <x:c r="M16" s="135"/>
      <x:c r="N16" s="275"/>
      <x:c r="O16" s="306"/>
      <x:c r="P16" s="306"/>
      <x:c r="Q16" s="302"/>
      <x:c r="R16" s="605"/>
      <x:c r="S16" s="292"/>
      <x:c r="T16" s="302"/>
      <x:c r="U16" s="302"/>
      <x:c r="V16" s="302"/>
      <x:c r="W16" s="139"/>
      <x:c r="X16" s="142" t="s">
        <x:v>47</x:v>
      </x:c>
      <x:c r="Y16" s="302"/>
      <x:c r="Z16" s="146" t="s">
        <x:v>72</x:v>
      </x:c>
      <x:c r="AA16" s="71"/>
      <x:c r="AB16" s="139"/>
      <x:c r="AC16" s="292"/>
      <x:c r="AD16" s="71"/>
      <x:c r="AE16" s="71"/>
      <x:c r="AF16" s="71"/>
      <x:c r="AG16" s="122" t="s">
        <x:v>54</x:v>
      </x:c>
      <x:c r="AH16" s="71"/>
      <x:c r="AI16" s="71"/>
      <x:c r="AJ16" s="71"/>
      <x:c r="AK16" s="71"/>
      <x:c r="AL16" s="150"/>
      <x:c r="AM16" s="1029" t="s">
        <x:v>91</x:v>
      </x:c>
      <x:c r="AN16" s="1030"/>
      <x:c r="AO16" s="1030"/>
      <x:c r="AP16" s="1030"/>
      <x:c r="AQ16" s="1030"/>
      <x:c r="AR16" s="1031"/>
      <x:c r="AS16" s="286" t="s">
        <x:v>43</x:v>
      </x:c>
      <x:c r="AT16" s="286" t="s">
        <x:v>145</x:v>
      </x:c>
    </x:row>
    <x:row r="17" spans="1:46" ht="17.449999999999999" customHeight="1">
      <x:c r="A17" s="1250"/>
      <x:c r="B17" s="257" t="s">
        <x:v>387</x:v>
      </x:c>
      <x:c r="C17" s="77" t="s">
        <x:v>367</x:v>
      </x:c>
      <x:c r="D17" s="203" t="s">
        <x:v>378</x:v>
      </x:c>
      <x:c r="E17" s="253"/>
      <x:c r="F17" s="44"/>
      <x:c r="G17" s="44"/>
      <x:c r="H17" s="44"/>
      <x:c r="I17" s="275"/>
      <x:c r="J17" s="306"/>
      <x:c r="K17" s="306"/>
      <x:c r="L17" s="306"/>
      <x:c r="M17" s="135"/>
      <x:c r="N17" s="275" t="s">
        <x:v>55</x:v>
      </x:c>
      <x:c r="O17" s="306"/>
      <x:c r="P17" s="306"/>
      <x:c r="Q17" s="306" t="s">
        <x:v>303</x:v>
      </x:c>
      <x:c r="R17" s="605"/>
      <x:c r="S17" s="292"/>
      <x:c r="T17" s="302"/>
      <x:c r="U17" s="302"/>
      <x:c r="V17" s="293"/>
      <x:c r="W17" s="139"/>
      <x:c r="X17" s="442" t="s">
        <x:v>47</x:v>
      </x:c>
      <x:c r="Y17" s="302"/>
      <x:c r="Z17" s="302"/>
      <x:c r="AA17" s="302"/>
      <x:c r="AB17" s="139"/>
      <x:c r="AC17" s="292" t="s">
        <x:v>279</x:v>
      </x:c>
      <x:c r="AD17" s="71"/>
      <x:c r="AE17" s="71"/>
      <x:c r="AF17" s="71"/>
      <x:c r="AG17" s="122" t="s">
        <x:v>54</x:v>
      </x:c>
      <x:c r="AH17" s="71"/>
      <x:c r="AI17" s="71"/>
      <x:c r="AJ17" s="71"/>
      <x:c r="AK17" s="71"/>
      <x:c r="AL17" s="150"/>
      <x:c r="AM17" s="1029" t="s">
        <x:v>409</x:v>
      </x:c>
      <x:c r="AN17" s="1030"/>
      <x:c r="AO17" s="1030"/>
      <x:c r="AP17" s="1030"/>
      <x:c r="AQ17" s="1030"/>
      <x:c r="AR17" s="1031"/>
      <x:c r="AS17" s="286" t="s">
        <x:v>43</x:v>
      </x:c>
      <x:c r="AT17" s="286"/>
    </x:row>
    <x:row r="18" spans="1:46" ht="17.449999999999999" customHeight="1">
      <x:c r="A18" s="1250"/>
      <x:c r="B18" s="257" t="s">
        <x:v>394</x:v>
      </x:c>
      <x:c r="C18" s="77" t="s">
        <x:v>367</x:v>
      </x:c>
      <x:c r="D18" s="203" t="s">
        <x:v>378</x:v>
      </x:c>
      <x:c r="E18" s="255"/>
      <x:c r="F18" s="47"/>
      <x:c r="G18" s="47"/>
      <x:c r="H18" s="47"/>
      <x:c r="I18" s="277"/>
      <x:c r="J18" s="308"/>
      <x:c r="K18" s="308"/>
      <x:c r="L18" s="308"/>
      <x:c r="M18" s="136"/>
      <x:c r="N18" s="277" t="s">
        <x:v>55</x:v>
      </x:c>
      <x:c r="O18" s="308"/>
      <x:c r="P18" s="308"/>
      <x:c r="Q18" s="308" t="s">
        <x:v>303</x:v>
      </x:c>
      <x:c r="R18" s="599"/>
      <x:c r="S18" s="356"/>
      <x:c r="T18" s="357"/>
      <x:c r="U18" s="357"/>
      <x:c r="V18" s="302"/>
      <x:c r="W18" s="140"/>
      <x:c r="X18" s="442" t="s">
        <x:v>47</x:v>
      </x:c>
      <x:c r="Y18" s="357"/>
      <x:c r="Z18" s="357"/>
      <x:c r="AA18" s="357"/>
      <x:c r="AB18" s="140"/>
      <x:c r="AC18" s="356" t="s">
        <x:v>279</x:v>
      </x:c>
      <x:c r="AD18" s="77"/>
      <x:c r="AE18" s="77"/>
      <x:c r="AF18" s="77"/>
      <x:c r="AG18" s="115" t="s">
        <x:v>54</x:v>
      </x:c>
      <x:c r="AH18" s="77"/>
      <x:c r="AI18" s="77"/>
      <x:c r="AJ18" s="77"/>
      <x:c r="AK18" s="77"/>
      <x:c r="AL18" s="151"/>
      <x:c r="AM18" s="1029" t="s">
        <x:v>409</x:v>
      </x:c>
      <x:c r="AN18" s="1030"/>
      <x:c r="AO18" s="1030"/>
      <x:c r="AP18" s="1030"/>
      <x:c r="AQ18" s="1030"/>
      <x:c r="AR18" s="1031"/>
      <x:c r="AS18" s="286" t="s">
        <x:v>43</x:v>
      </x:c>
      <x:c r="AT18" s="286"/>
    </x:row>
    <x:row r="19" spans="1:47" s="33" customFormat="1" ht="17.449999999999999" customHeight="1">
      <x:c r="A19" s="1250"/>
      <x:c r="B19" s="190" t="s">
        <x:v>166</x:v>
      </x:c>
      <x:c r="C19" s="190" t="s">
        <x:v>218</x:v>
      </x:c>
      <x:c r="D19" s="190" t="s">
        <x:v>375</x:v>
      </x:c>
      <x:c r="E19" s="218"/>
      <x:c r="F19" s="56"/>
      <x:c r="G19" s="56"/>
      <x:c r="H19" s="56"/>
      <x:c r="I19" s="276"/>
      <x:c r="J19" s="309"/>
      <x:c r="K19" s="309"/>
      <x:c r="L19" s="309"/>
      <x:c r="M19" s="258"/>
      <x:c r="N19" s="275"/>
      <x:c r="O19" s="306"/>
      <x:c r="P19" s="306"/>
      <x:c r="Q19" s="306"/>
      <x:c r="R19" s="139"/>
      <x:c r="S19" s="292"/>
      <x:c r="T19" s="302"/>
      <x:c r="U19" s="302"/>
      <x:c r="V19" s="302"/>
      <x:c r="W19" s="139"/>
      <x:c r="X19" s="382"/>
      <x:c r="Y19" s="385"/>
      <x:c r="Z19" s="385"/>
      <x:c r="AA19" s="385"/>
      <x:c r="AB19" s="678"/>
      <x:c r="AC19" s="120"/>
      <x:c r="AD19" s="146"/>
      <x:c r="AE19" s="71"/>
      <x:c r="AF19" s="71"/>
      <x:c r="AG19" s="115"/>
      <x:c r="AH19" s="71"/>
      <x:c r="AI19" s="71"/>
      <x:c r="AJ19" s="71"/>
      <x:c r="AK19" s="71"/>
      <x:c r="AL19" s="150"/>
      <x:c r="AM19" s="1216" t="s">
        <x:v>435</x:v>
      </x:c>
      <x:c r="AN19" s="1217"/>
      <x:c r="AO19" s="1217"/>
      <x:c r="AP19" s="1217"/>
      <x:c r="AQ19" s="1217"/>
      <x:c r="AR19" s="1218"/>
      <x:c r="AS19" s="286" t="s">
        <x:v>43</x:v>
      </x:c>
      <x:c r="AT19" s="286" t="s">
        <x:v>145</x:v>
      </x:c>
      <x:c r="AU19" s="2"/>
    </x:row>
    <x:row r="20" spans="1:47" s="37" customFormat="1" ht="17.449999999999999" customHeight="1">
      <x:c r="A20" s="1250"/>
      <x:c r="B20" s="190" t="s">
        <x:v>353</x:v>
      </x:c>
      <x:c r="C20" s="190" t="s">
        <x:v>367</x:v>
      </x:c>
      <x:c r="D20" s="190" t="s">
        <x:v>375</x:v>
      </x:c>
      <x:c r="E20" s="255"/>
      <x:c r="F20" s="47"/>
      <x:c r="G20" s="47"/>
      <x:c r="H20" s="305"/>
      <x:c r="I20" s="277"/>
      <x:c r="J20" s="308"/>
      <x:c r="K20" s="308"/>
      <x:c r="L20" s="308"/>
      <x:c r="M20" s="136"/>
      <x:c r="N20" s="381"/>
      <x:c r="O20" s="320"/>
      <x:c r="P20" s="320"/>
      <x:c r="Q20" s="320"/>
      <x:c r="R20" s="384"/>
      <x:c r="S20" s="114"/>
      <x:c r="T20" s="357" t="s">
        <x:v>393</x:v>
      </x:c>
      <x:c r="U20" s="357" t="s">
        <x:v>166</x:v>
      </x:c>
      <x:c r="V20" s="77"/>
      <x:c r="W20" s="384"/>
      <x:c r="X20" s="382"/>
      <x:c r="Y20" s="385"/>
      <x:c r="Z20" s="383"/>
      <x:c r="AA20" s="383"/>
      <x:c r="AB20" s="384"/>
      <x:c r="AC20" s="114"/>
      <x:c r="AD20" s="77" t="s">
        <x:v>374</x:v>
      </x:c>
      <x:c r="AE20" s="77"/>
      <x:c r="AF20" s="77"/>
      <x:c r="AG20" s="71"/>
      <x:c r="AH20" s="77"/>
      <x:c r="AI20" s="77"/>
      <x:c r="AJ20" s="77"/>
      <x:c r="AK20" s="77"/>
      <x:c r="AL20" s="151"/>
      <x:c r="AM20" s="1029" t="s">
        <x:v>406</x:v>
      </x:c>
      <x:c r="AN20" s="1030"/>
      <x:c r="AO20" s="1030"/>
      <x:c r="AP20" s="1030"/>
      <x:c r="AQ20" s="1030"/>
      <x:c r="AR20" s="1031"/>
      <x:c r="AS20" s="286" t="s">
        <x:v>43</x:v>
      </x:c>
      <x:c r="AT20" s="286" t="s">
        <x:v>145</x:v>
      </x:c>
      <x:c r="AU20" s="2"/>
    </x:row>
    <x:row r="21" spans="1:47" s="27" customFormat="1" ht="17.449999999999999" customHeight="1">
      <x:c r="A21" s="1251"/>
      <x:c r="B21" s="256"/>
      <x:c r="C21" s="256"/>
      <x:c r="D21" s="450"/>
      <x:c r="E21" s="218"/>
      <x:c r="F21" s="56"/>
      <x:c r="G21" s="56"/>
      <x:c r="H21" s="219"/>
      <x:c r="I21" s="92"/>
      <x:c r="J21" s="88"/>
      <x:c r="K21" s="88"/>
      <x:c r="L21" s="309" t="s">
        <x:v>328</x:v>
      </x:c>
      <x:c r="M21" s="451"/>
      <x:c r="N21" s="92"/>
      <x:c r="O21" s="88"/>
      <x:c r="P21" s="88"/>
      <x:c r="Q21" s="246"/>
      <x:c r="R21" s="389"/>
      <x:c r="S21" s="116"/>
      <x:c r="T21" s="80"/>
      <x:c r="U21" s="780" t="s">
        <x:v>253</x:v>
      </x:c>
      <x:c r="V21" s="80"/>
      <x:c r="W21" s="389"/>
      <x:c r="X21" s="387"/>
      <x:c r="Y21" s="80"/>
      <x:c r="Z21" s="80"/>
      <x:c r="AA21" s="80"/>
      <x:c r="AB21" s="389"/>
      <x:c r="AC21" s="116"/>
      <x:c r="AD21" s="956" t="s">
        <x:v>53</x:v>
      </x:c>
      <x:c r="AE21" s="80"/>
      <x:c r="AF21" s="80"/>
      <x:c r="AG21" s="117"/>
      <x:c r="AH21" s="80"/>
      <x:c r="AI21" s="80"/>
      <x:c r="AJ21" s="80"/>
      <x:c r="AK21" s="80"/>
      <x:c r="AL21" s="152"/>
      <x:c r="AM21" s="447"/>
      <x:c r="AN21" s="448"/>
      <x:c r="AO21" s="448"/>
      <x:c r="AP21" s="448"/>
      <x:c r="AQ21" s="448"/>
      <x:c r="AR21" s="449"/>
      <x:c r="AS21" s="4"/>
      <x:c r="AU21" s="2"/>
    </x:row>
    <x:row r="22" spans="1:45" ht="17.149999999999999">
      <x:c r="A22" s="233"/>
      <x:c r="B22" s="107"/>
      <x:c r="C22" s="108"/>
      <x:c r="D22" s="108"/>
      <x:c r="E22" s="109"/>
      <x:c r="F22" s="109"/>
      <x:c r="G22" s="109"/>
      <x:c r="H22" s="109"/>
      <x:c r="I22" s="110"/>
      <x:c r="J22" s="105"/>
      <x:c r="K22" s="105"/>
      <x:c r="L22" s="105"/>
      <x:c r="M22" s="105"/>
      <x:c r="N22" s="112"/>
      <x:c r="O22" s="105"/>
      <x:c r="P22" s="105"/>
      <x:c r="Q22" s="105"/>
      <x:c r="R22" s="105"/>
      <x:c r="S22" s="105"/>
      <x:c r="T22" s="105"/>
      <x:c r="U22" s="105"/>
      <x:c r="V22" s="105"/>
      <x:c r="W22" s="105"/>
      <x:c r="X22" s="105"/>
      <x:c r="Y22" s="105"/>
      <x:c r="Z22" s="105"/>
      <x:c r="AA22" s="105"/>
      <x:c r="AB22" s="105"/>
      <x:c r="AC22" s="105"/>
      <x:c r="AD22" s="105"/>
      <x:c r="AE22" s="105"/>
      <x:c r="AF22" s="105"/>
      <x:c r="AG22" s="105"/>
      <x:c r="AH22" s="105"/>
      <x:c r="AI22" s="105"/>
      <x:c r="AJ22" s="105"/>
      <x:c r="AK22" s="105"/>
      <x:c r="AL22" s="105"/>
      <x:c r="AM22" s="113"/>
      <x:c r="AN22" s="113"/>
      <x:c r="AO22" s="113"/>
      <x:c r="AP22" s="113"/>
      <x:c r="AQ22" s="113"/>
      <x:c r="AR22" s="113"/>
      <x:c r="AS22" s="4"/>
    </x:row>
    <x:row r="23" spans="1:45" ht="16.5" customHeight="1">
      <x:c r="A23" s="1232" t="s">
        <x:v>424</x:v>
      </x:c>
      <x:c r="B23" s="1233"/>
      <x:c r="C23" s="1233"/>
      <x:c r="D23" s="1233"/>
      <x:c r="E23" s="1233"/>
      <x:c r="F23" s="1233"/>
      <x:c r="G23" s="1233"/>
      <x:c r="H23" s="1233"/>
      <x:c r="I23" s="1233"/>
      <x:c r="J23" s="1233"/>
      <x:c r="K23" s="1233"/>
      <x:c r="L23" s="1233"/>
      <x:c r="M23" s="1233"/>
      <x:c r="N23" s="1233"/>
      <x:c r="O23" s="1233"/>
      <x:c r="P23" s="1233"/>
      <x:c r="Q23" s="1233"/>
      <x:c r="R23" s="1233"/>
      <x:c r="S23" s="1233"/>
      <x:c r="T23" s="1233"/>
      <x:c r="U23" s="1233"/>
      <x:c r="V23" s="1233"/>
      <x:c r="W23" s="1233"/>
      <x:c r="X23" s="1233"/>
      <x:c r="Y23" s="1233"/>
      <x:c r="Z23" s="1233"/>
      <x:c r="AA23" s="1233"/>
      <x:c r="AB23" s="1233"/>
      <x:c r="AC23" s="1233"/>
      <x:c r="AD23" s="1233"/>
      <x:c r="AE23" s="1233"/>
      <x:c r="AF23" s="1233"/>
      <x:c r="AG23" s="1233"/>
      <x:c r="AH23" s="1233"/>
      <x:c r="AI23" s="1233"/>
      <x:c r="AJ23" s="1233"/>
      <x:c r="AK23" s="1233"/>
      <x:c r="AL23" s="1233"/>
      <x:c r="AM23" s="1233"/>
      <x:c r="AN23" s="1233"/>
      <x:c r="AO23" s="1233"/>
      <x:c r="AP23" s="1233"/>
      <x:c r="AQ23" s="1233"/>
      <x:c r="AR23" s="1234"/>
      <x:c r="AS23" s="4"/>
    </x:row>
    <x:row r="24" spans="1:45" ht="17.449999999999999" customHeight="1">
      <x:c r="A24" s="1235"/>
      <x:c r="B24" s="1236"/>
      <x:c r="C24" s="1236"/>
      <x:c r="D24" s="1236"/>
      <x:c r="E24" s="1236"/>
      <x:c r="F24" s="1236"/>
      <x:c r="G24" s="1236"/>
      <x:c r="H24" s="1236"/>
      <x:c r="I24" s="1236"/>
      <x:c r="J24" s="1236"/>
      <x:c r="K24" s="1236"/>
      <x:c r="L24" s="1236"/>
      <x:c r="M24" s="1236"/>
      <x:c r="N24" s="1236"/>
      <x:c r="O24" s="1236"/>
      <x:c r="P24" s="1236"/>
      <x:c r="Q24" s="1236"/>
      <x:c r="R24" s="1236"/>
      <x:c r="S24" s="1236"/>
      <x:c r="T24" s="1236"/>
      <x:c r="U24" s="1236"/>
      <x:c r="V24" s="1236"/>
      <x:c r="W24" s="1236"/>
      <x:c r="X24" s="1236"/>
      <x:c r="Y24" s="1236"/>
      <x:c r="Z24" s="1236"/>
      <x:c r="AA24" s="1236"/>
      <x:c r="AB24" s="1236"/>
      <x:c r="AC24" s="1236"/>
      <x:c r="AD24" s="1236"/>
      <x:c r="AE24" s="1236"/>
      <x:c r="AF24" s="1236"/>
      <x:c r="AG24" s="1236"/>
      <x:c r="AH24" s="1236"/>
      <x:c r="AI24" s="1236"/>
      <x:c r="AJ24" s="1236"/>
      <x:c r="AK24" s="1236"/>
      <x:c r="AL24" s="1236"/>
      <x:c r="AM24" s="1236"/>
      <x:c r="AN24" s="1236"/>
      <x:c r="AO24" s="1236"/>
      <x:c r="AP24" s="1236"/>
      <x:c r="AQ24" s="1236"/>
      <x:c r="AR24" s="1237"/>
      <x:c r="AS24" s="4"/>
    </x:row>
    <x:row r="25" spans="1:45" ht="17.449999999999999" customHeight="1">
      <x:c r="A25" s="1235"/>
      <x:c r="B25" s="1236"/>
      <x:c r="C25" s="1236"/>
      <x:c r="D25" s="1236"/>
      <x:c r="E25" s="1236"/>
      <x:c r="F25" s="1236"/>
      <x:c r="G25" s="1236"/>
      <x:c r="H25" s="1236"/>
      <x:c r="I25" s="1236"/>
      <x:c r="J25" s="1236"/>
      <x:c r="K25" s="1236"/>
      <x:c r="L25" s="1236"/>
      <x:c r="M25" s="1236"/>
      <x:c r="N25" s="1236"/>
      <x:c r="O25" s="1236"/>
      <x:c r="P25" s="1236"/>
      <x:c r="Q25" s="1236"/>
      <x:c r="R25" s="1236"/>
      <x:c r="S25" s="1236"/>
      <x:c r="T25" s="1236"/>
      <x:c r="U25" s="1236"/>
      <x:c r="V25" s="1236"/>
      <x:c r="W25" s="1236"/>
      <x:c r="X25" s="1236"/>
      <x:c r="Y25" s="1236"/>
      <x:c r="Z25" s="1236"/>
      <x:c r="AA25" s="1236"/>
      <x:c r="AB25" s="1236"/>
      <x:c r="AC25" s="1236"/>
      <x:c r="AD25" s="1236"/>
      <x:c r="AE25" s="1236"/>
      <x:c r="AF25" s="1236"/>
      <x:c r="AG25" s="1236"/>
      <x:c r="AH25" s="1236"/>
      <x:c r="AI25" s="1236"/>
      <x:c r="AJ25" s="1236"/>
      <x:c r="AK25" s="1236"/>
      <x:c r="AL25" s="1236"/>
      <x:c r="AM25" s="1236"/>
      <x:c r="AN25" s="1236"/>
      <x:c r="AO25" s="1236"/>
      <x:c r="AP25" s="1236"/>
      <x:c r="AQ25" s="1236"/>
      <x:c r="AR25" s="1237"/>
      <x:c r="AS25" s="4"/>
    </x:row>
    <x:row r="26" spans="1:45" ht="17.449999999999999" customHeight="1">
      <x:c r="A26" s="1235"/>
      <x:c r="B26" s="1236"/>
      <x:c r="C26" s="1236"/>
      <x:c r="D26" s="1236"/>
      <x:c r="E26" s="1236"/>
      <x:c r="F26" s="1236"/>
      <x:c r="G26" s="1236"/>
      <x:c r="H26" s="1236"/>
      <x:c r="I26" s="1236"/>
      <x:c r="J26" s="1236"/>
      <x:c r="K26" s="1236"/>
      <x:c r="L26" s="1236"/>
      <x:c r="M26" s="1236"/>
      <x:c r="N26" s="1236"/>
      <x:c r="O26" s="1236"/>
      <x:c r="P26" s="1236"/>
      <x:c r="Q26" s="1236"/>
      <x:c r="R26" s="1236"/>
      <x:c r="S26" s="1236"/>
      <x:c r="T26" s="1236"/>
      <x:c r="U26" s="1236"/>
      <x:c r="V26" s="1236"/>
      <x:c r="W26" s="1236"/>
      <x:c r="X26" s="1236"/>
      <x:c r="Y26" s="1236"/>
      <x:c r="Z26" s="1236"/>
      <x:c r="AA26" s="1236"/>
      <x:c r="AB26" s="1236"/>
      <x:c r="AC26" s="1236"/>
      <x:c r="AD26" s="1236"/>
      <x:c r="AE26" s="1236"/>
      <x:c r="AF26" s="1236"/>
      <x:c r="AG26" s="1236"/>
      <x:c r="AH26" s="1236"/>
      <x:c r="AI26" s="1236"/>
      <x:c r="AJ26" s="1236"/>
      <x:c r="AK26" s="1236"/>
      <x:c r="AL26" s="1236"/>
      <x:c r="AM26" s="1236"/>
      <x:c r="AN26" s="1236"/>
      <x:c r="AO26" s="1236"/>
      <x:c r="AP26" s="1236"/>
      <x:c r="AQ26" s="1236"/>
      <x:c r="AR26" s="1237"/>
      <x:c r="AS26" s="4"/>
    </x:row>
    <x:row r="27" spans="1:45" ht="17.449999999999999" customHeight="1">
      <x:c r="A27" s="1235"/>
      <x:c r="B27" s="1236"/>
      <x:c r="C27" s="1236"/>
      <x:c r="D27" s="1236"/>
      <x:c r="E27" s="1236"/>
      <x:c r="F27" s="1236"/>
      <x:c r="G27" s="1236"/>
      <x:c r="H27" s="1236"/>
      <x:c r="I27" s="1236"/>
      <x:c r="J27" s="1236"/>
      <x:c r="K27" s="1236"/>
      <x:c r="L27" s="1236"/>
      <x:c r="M27" s="1236"/>
      <x:c r="N27" s="1236"/>
      <x:c r="O27" s="1236"/>
      <x:c r="P27" s="1236"/>
      <x:c r="Q27" s="1236"/>
      <x:c r="R27" s="1236"/>
      <x:c r="S27" s="1236"/>
      <x:c r="T27" s="1236"/>
      <x:c r="U27" s="1236"/>
      <x:c r="V27" s="1236"/>
      <x:c r="W27" s="1236"/>
      <x:c r="X27" s="1236"/>
      <x:c r="Y27" s="1236"/>
      <x:c r="Z27" s="1236"/>
      <x:c r="AA27" s="1236"/>
      <x:c r="AB27" s="1236"/>
      <x:c r="AC27" s="1236"/>
      <x:c r="AD27" s="1236"/>
      <x:c r="AE27" s="1236"/>
      <x:c r="AF27" s="1236"/>
      <x:c r="AG27" s="1236"/>
      <x:c r="AH27" s="1236"/>
      <x:c r="AI27" s="1236"/>
      <x:c r="AJ27" s="1236"/>
      <x:c r="AK27" s="1236"/>
      <x:c r="AL27" s="1236"/>
      <x:c r="AM27" s="1236"/>
      <x:c r="AN27" s="1236"/>
      <x:c r="AO27" s="1236"/>
      <x:c r="AP27" s="1236"/>
      <x:c r="AQ27" s="1236"/>
      <x:c r="AR27" s="1237"/>
      <x:c r="AS27" s="4"/>
    </x:row>
    <x:row r="28" spans="1:45">
      <x:c r="A28" s="1238"/>
      <x:c r="B28" s="1239"/>
      <x:c r="C28" s="1239"/>
      <x:c r="D28" s="1239"/>
      <x:c r="E28" s="1239"/>
      <x:c r="F28" s="1239"/>
      <x:c r="G28" s="1239"/>
      <x:c r="H28" s="1239"/>
      <x:c r="I28" s="1239"/>
      <x:c r="J28" s="1239"/>
      <x:c r="K28" s="1239"/>
      <x:c r="L28" s="1239"/>
      <x:c r="M28" s="1239"/>
      <x:c r="N28" s="1239"/>
      <x:c r="O28" s="1239"/>
      <x:c r="P28" s="1239"/>
      <x:c r="Q28" s="1239"/>
      <x:c r="R28" s="1239"/>
      <x:c r="S28" s="1239"/>
      <x:c r="T28" s="1239"/>
      <x:c r="U28" s="1239"/>
      <x:c r="V28" s="1239"/>
      <x:c r="W28" s="1239"/>
      <x:c r="X28" s="1239"/>
      <x:c r="Y28" s="1239"/>
      <x:c r="Z28" s="1239"/>
      <x:c r="AA28" s="1239"/>
      <x:c r="AB28" s="1239"/>
      <x:c r="AC28" s="1239"/>
      <x:c r="AD28" s="1239"/>
      <x:c r="AE28" s="1239"/>
      <x:c r="AF28" s="1239"/>
      <x:c r="AG28" s="1239"/>
      <x:c r="AH28" s="1239"/>
      <x:c r="AI28" s="1239"/>
      <x:c r="AJ28" s="1239"/>
      <x:c r="AK28" s="1239"/>
      <x:c r="AL28" s="1239"/>
      <x:c r="AM28" s="1239"/>
      <x:c r="AN28" s="1239"/>
      <x:c r="AO28" s="1239"/>
      <x:c r="AP28" s="1239"/>
      <x:c r="AQ28" s="1239"/>
      <x:c r="AR28" s="1240"/>
      <x:c r="AS28" s="4"/>
    </x:row>
    <x:row r="29" spans="1:45" ht="16.75">
      <x:c r="A29" s="54" t="s">
        <x:v>69</x:v>
      </x:c>
      <x:c r="B29" s="234"/>
      <x:c r="C29" s="235"/>
      <x:c r="D29" s="235"/>
      <x:c r="E29" s="235"/>
      <x:c r="F29" s="235"/>
      <x:c r="G29" s="235"/>
      <x:c r="H29" s="235"/>
      <x:c r="I29" s="236"/>
      <x:c r="J29" s="236"/>
      <x:c r="K29" s="236"/>
      <x:c r="L29" s="236"/>
      <x:c r="M29" s="236"/>
      <x:c r="N29" s="236"/>
      <x:c r="O29" s="236"/>
      <x:c r="P29" s="236"/>
      <x:c r="Q29" s="236"/>
      <x:c r="R29" s="236"/>
      <x:c r="S29" s="236"/>
      <x:c r="T29" s="236"/>
      <x:c r="U29" s="236"/>
      <x:c r="V29" s="236"/>
      <x:c r="W29" s="236"/>
      <x:c r="X29" s="236"/>
      <x:c r="Y29" s="236"/>
      <x:c r="Z29" s="236"/>
      <x:c r="AA29" s="236"/>
      <x:c r="AB29" s="236"/>
      <x:c r="AC29" s="236"/>
      <x:c r="AD29" s="236"/>
      <x:c r="AE29" s="236"/>
      <x:c r="AF29" s="236"/>
      <x:c r="AG29" s="236"/>
      <x:c r="AH29" s="236"/>
      <x:c r="AI29" s="236"/>
      <x:c r="AJ29" s="236"/>
      <x:c r="AK29" s="236"/>
      <x:c r="AL29" s="236"/>
      <x:c r="AM29" s="811"/>
      <x:c r="AN29" s="811"/>
      <x:c r="AO29" s="811"/>
      <x:c r="AP29" s="811"/>
      <x:c r="AQ29" s="811"/>
      <x:c r="AR29" s="811"/>
      <x:c r="AS29" s="4"/>
    </x:row>
    <x:row r="30" spans="1:46" ht="16.5" customHeight="1">
      <x:c r="A30" s="1255">
        <x:v>0.041666666666666664</x:v>
      </x:c>
      <x:c r="B30" s="575" t="s">
        <x:v>357</x:v>
      </x:c>
      <x:c r="C30" s="183" t="s">
        <x:v>172</x:v>
      </x:c>
      <x:c r="D30" s="287" t="s">
        <x:v>375</x:v>
      </x:c>
      <x:c r="E30" s="762"/>
      <x:c r="F30" s="762"/>
      <x:c r="G30" s="762"/>
      <x:c r="H30" s="762"/>
      <x:c r="I30" s="763"/>
      <x:c r="J30" s="336"/>
      <x:c r="K30" s="816"/>
      <x:c r="L30" s="336" t="s">
        <x:v>96</x:v>
      </x:c>
      <x:c r="M30" s="764"/>
      <x:c r="N30" s="817"/>
      <x:c r="O30" s="336"/>
      <x:c r="P30" s="336"/>
      <x:c r="Q30" s="773"/>
      <x:c r="R30" s="600"/>
      <x:c r="S30" s="749"/>
      <x:c r="T30" s="293"/>
      <x:c r="U30" s="773"/>
      <x:c r="V30" s="773"/>
      <x:c r="W30" s="750"/>
      <x:c r="X30" s="751" t="s">
        <x:v>47</x:v>
      </x:c>
      <x:c r="Y30" s="773" t="s">
        <x:v>72</x:v>
      </x:c>
      <x:c r="Z30" s="773"/>
      <x:c r="AA30" s="889" t="s">
        <x:v>331</x:v>
      </x:c>
      <x:c r="AB30" s="750"/>
      <x:c r="AC30" s="1271" t="s">
        <x:v>25</x:v>
      </x:c>
      <x:c r="AD30" s="1272"/>
      <x:c r="AE30" s="1272"/>
      <x:c r="AF30" s="1273"/>
      <x:c r="AG30" s="121" t="s">
        <x:v>54</x:v>
      </x:c>
      <x:c r="AH30" s="199"/>
      <x:c r="AI30" s="199"/>
      <x:c r="AJ30" s="199"/>
      <x:c r="AK30" s="199"/>
      <x:c r="AL30" s="767"/>
      <x:c r="AM30" s="1135" t="s">
        <x:v>408</x:v>
      </x:c>
      <x:c r="AN30" s="1136"/>
      <x:c r="AO30" s="1136"/>
      <x:c r="AP30" s="1136"/>
      <x:c r="AQ30" s="1136"/>
      <x:c r="AR30" s="1137"/>
      <x:c r="AS30" s="286" t="s">
        <x:v>43</x:v>
      </x:c>
      <x:c r="AT30" s="286"/>
    </x:row>
    <x:row r="31" spans="1:46">
      <x:c r="A31" s="1256"/>
      <x:c r="B31" s="252" t="s">
        <x:v>175</x:v>
      </x:c>
      <x:c r="C31" s="53" t="s">
        <x:v>172</x:v>
      </x:c>
      <x:c r="D31" s="166" t="s">
        <x:v>378</x:v>
      </x:c>
      <x:c r="E31" s="48"/>
      <x:c r="F31" s="48"/>
      <x:c r="G31" s="48"/>
      <x:c r="H31" s="48"/>
      <x:c r="I31" s="275"/>
      <x:c r="J31" s="306"/>
      <x:c r="K31" s="333"/>
      <x:c r="L31" s="306" t="s">
        <x:v>96</x:v>
      </x:c>
      <x:c r="M31" s="135"/>
      <x:c r="N31" s="275"/>
      <x:c r="O31" s="306"/>
      <x:c r="P31" s="306"/>
      <x:c r="Q31" s="306"/>
      <x:c r="R31" s="605"/>
      <x:c r="S31" s="292"/>
      <x:c r="T31" s="302"/>
      <x:c r="U31" s="302"/>
      <x:c r="V31" s="302"/>
      <x:c r="W31" s="139"/>
      <x:c r="X31" s="142" t="s">
        <x:v>47</x:v>
      </x:c>
      <x:c r="Y31" s="302"/>
      <x:c r="Z31" s="302"/>
      <x:c r="AA31" s="302"/>
      <x:c r="AB31" s="139"/>
      <x:c r="AC31" s="120" t="s">
        <x:v>119</x:v>
      </x:c>
      <x:c r="AD31" s="71"/>
      <x:c r="AE31" s="71"/>
      <x:c r="AF31" s="71"/>
      <x:c r="AG31" s="122" t="s">
        <x:v>54</x:v>
      </x:c>
      <x:c r="AH31" s="71"/>
      <x:c r="AI31" s="71"/>
      <x:c r="AJ31" s="71"/>
      <x:c r="AK31" s="71"/>
      <x:c r="AL31" s="150"/>
      <x:c r="AM31" s="1029" t="s">
        <x:v>430</x:v>
      </x:c>
      <x:c r="AN31" s="1030"/>
      <x:c r="AO31" s="1030"/>
      <x:c r="AP31" s="1030"/>
      <x:c r="AQ31" s="1030"/>
      <x:c r="AR31" s="1031"/>
      <x:c r="AS31" s="286" t="s">
        <x:v>43</x:v>
      </x:c>
      <x:c r="AT31" s="286"/>
    </x:row>
    <x:row r="32" spans="1:46">
      <x:c r="A32" s="1256"/>
      <x:c r="B32" s="562" t="s">
        <x:v>161</x:v>
      </x:c>
      <x:c r="C32" s="185" t="s">
        <x:v>237</x:v>
      </x:c>
      <x:c r="D32" s="186" t="s">
        <x:v>375</x:v>
      </x:c>
      <x:c r="E32" s="431"/>
      <x:c r="F32" s="431"/>
      <x:c r="G32" s="431"/>
      <x:c r="H32" s="431"/>
      <x:c r="I32" s="209"/>
      <x:c r="J32" s="209"/>
      <x:c r="K32" s="432" t="s">
        <x:v>191</x:v>
      </x:c>
      <x:c r="L32" s="209"/>
      <x:c r="M32" s="441"/>
      <x:c r="N32" s="710"/>
      <x:c r="O32" s="154"/>
      <x:c r="P32" s="154"/>
      <x:c r="Q32" s="306" t="s">
        <x:v>323</x:v>
      </x:c>
      <x:c r="R32" s="711"/>
      <x:c r="S32" s="683"/>
      <x:c r="T32" s="302" t="s">
        <x:v>135</x:v>
      </x:c>
      <x:c r="U32" s="683"/>
      <x:c r="V32" s="683"/>
      <x:c r="W32" s="439"/>
      <x:c r="X32" s="442" t="s">
        <x:v>47</x:v>
      </x:c>
      <x:c r="Y32" s="683" t="s">
        <x:v>86</x:v>
      </x:c>
      <x:c r="Z32" s="683"/>
      <x:c r="AA32" s="683" t="s">
        <x:v>238</x:v>
      </x:c>
      <x:c r="AB32" s="439"/>
      <x:c r="AC32" s="965"/>
      <x:c r="AD32" s="71"/>
      <x:c r="AE32" s="71"/>
      <x:c r="AF32" s="71"/>
      <x:c r="AG32" s="122" t="s">
        <x:v>54</x:v>
      </x:c>
      <x:c r="AH32" s="168"/>
      <x:c r="AI32" s="168"/>
      <x:c r="AJ32" s="168"/>
      <x:c r="AK32" s="168"/>
      <x:c r="AL32" s="442"/>
      <x:c r="AM32" s="1252"/>
      <x:c r="AN32" s="1253"/>
      <x:c r="AO32" s="1253"/>
      <x:c r="AP32" s="1253"/>
      <x:c r="AQ32" s="1253"/>
      <x:c r="AR32" s="1254"/>
      <x:c r="AS32" s="286" t="s">
        <x:v>43</x:v>
      </x:c>
      <x:c r="AT32" s="286" t="s">
        <x:v>145</x:v>
      </x:c>
    </x:row>
    <x:row r="33" spans="1:46" ht="16.75">
      <x:c r="A33" s="1256"/>
      <x:c r="B33" s="562" t="s">
        <x:v>194</x:v>
      </x:c>
      <x:c r="C33" s="185" t="s">
        <x:v>172</x:v>
      </x:c>
      <x:c r="D33" s="186" t="s">
        <x:v>378</x:v>
      </x:c>
      <x:c r="E33" s="436"/>
      <x:c r="F33" s="436"/>
      <x:c r="G33" s="436"/>
      <x:c r="H33" s="436"/>
      <x:c r="I33" s="437"/>
      <x:c r="J33" s="437"/>
      <x:c r="K33" s="438"/>
      <x:c r="L33" s="437"/>
      <x:c r="M33" s="440"/>
      <x:c r="N33" s="712"/>
      <x:c r="O33" s="306" t="s">
        <x:v>196</x:v>
      </x:c>
      <x:c r="P33" s="306" t="s">
        <x:v>323</x:v>
      </x:c>
      <x:c r="Q33" s="306"/>
      <x:c r="R33" s="713"/>
      <x:c r="S33" s="749"/>
      <x:c r="T33" s="773"/>
      <x:c r="U33" s="773"/>
      <x:c r="V33" s="773" t="s">
        <x:v>238</x:v>
      </x:c>
      <x:c r="W33" s="750"/>
      <x:c r="X33" s="442" t="s">
        <x:v>47</x:v>
      </x:c>
      <x:c r="Y33" s="773"/>
      <x:c r="Z33" s="773"/>
      <x:c r="AA33" s="773" t="s">
        <x:v>117</x:v>
      </x:c>
      <x:c r="AB33" s="750"/>
      <x:c r="AC33" s="292"/>
      <x:c r="AD33" s="71"/>
      <x:c r="AE33" s="71"/>
      <x:c r="AF33" s="71" t="s">
        <x:v>303</x:v>
      </x:c>
      <x:c r="AG33" s="115" t="s">
        <x:v>54</x:v>
      </x:c>
      <x:c r="AH33" s="199"/>
      <x:c r="AI33" s="199"/>
      <x:c r="AJ33" s="199"/>
      <x:c r="AK33" s="199"/>
      <x:c r="AL33" s="767"/>
      <x:c r="AM33" s="1252"/>
      <x:c r="AN33" s="1253"/>
      <x:c r="AO33" s="1253"/>
      <x:c r="AP33" s="1253"/>
      <x:c r="AQ33" s="1253"/>
      <x:c r="AR33" s="1254"/>
      <x:c r="AS33" s="286" t="s">
        <x:v>43</x:v>
      </x:c>
      <x:c r="AT33" s="286" t="s">
        <x:v>145</x:v>
      </x:c>
    </x:row>
    <x:row r="34" spans="1:46" ht="16.75">
      <x:c r="A34" s="1256"/>
      <x:c r="B34" s="562"/>
      <x:c r="C34" s="185"/>
      <x:c r="D34" s="186"/>
      <x:c r="E34" s="436"/>
      <x:c r="F34" s="436"/>
      <x:c r="G34" s="436"/>
      <x:c r="H34" s="436"/>
      <x:c r="I34" s="437"/>
      <x:c r="J34" s="437"/>
      <x:c r="K34" s="438"/>
      <x:c r="L34" s="437"/>
      <x:c r="M34" s="440"/>
      <x:c r="N34" s="712"/>
      <x:c r="O34" s="306"/>
      <x:c r="P34" s="306"/>
      <x:c r="Q34" s="306"/>
      <x:c r="R34" s="713"/>
      <x:c r="S34" s="856"/>
      <x:c r="T34" s="857"/>
      <x:c r="U34" s="857"/>
      <x:c r="V34" s="857"/>
      <x:c r="W34" s="858"/>
      <x:c r="X34" s="856"/>
      <x:c r="Y34" s="857"/>
      <x:c r="Z34" s="857"/>
      <x:c r="AA34" s="857"/>
      <x:c r="AB34" s="858"/>
      <x:c r="AC34" s="120"/>
      <x:c r="AD34" s="71"/>
      <x:c r="AE34" s="71"/>
      <x:c r="AF34" s="71"/>
      <x:c r="AG34" s="122"/>
      <x:c r="AH34" s="71"/>
      <x:c r="AI34" s="71"/>
      <x:c r="AJ34" s="71"/>
      <x:c r="AK34" s="71"/>
      <x:c r="AL34" s="150"/>
      <x:c r="AM34" s="1252"/>
      <x:c r="AN34" s="1253"/>
      <x:c r="AO34" s="1253"/>
      <x:c r="AP34" s="1253"/>
      <x:c r="AQ34" s="1253"/>
      <x:c r="AR34" s="1254"/>
      <x:c r="AS34" s="286"/>
      <x:c r="AT34" s="286"/>
    </x:row>
    <x:row r="35" spans="1:47" s="25" customFormat="1" ht="16.75">
      <x:c r="A35" s="1257"/>
      <x:c r="B35" s="853"/>
      <x:c r="C35" s="708"/>
      <x:c r="D35" s="709"/>
      <x:c r="E35" s="436"/>
      <x:c r="F35" s="436"/>
      <x:c r="G35" s="436"/>
      <x:c r="H35" s="436"/>
      <x:c r="I35" s="437"/>
      <x:c r="J35" s="437"/>
      <x:c r="K35" s="438"/>
      <x:c r="L35" s="437"/>
      <x:c r="M35" s="440"/>
      <x:c r="N35" s="291"/>
      <x:c r="O35" s="320"/>
      <x:c r="P35" s="320"/>
      <x:c r="Q35" s="320"/>
      <x:c r="R35" s="714"/>
      <x:c r="S35" s="707"/>
      <x:c r="T35" s="744"/>
      <x:c r="U35" s="744"/>
      <x:c r="V35" s="744"/>
      <x:c r="W35" s="859"/>
      <x:c r="X35" s="707"/>
      <x:c r="Y35" s="744"/>
      <x:c r="Z35" s="744"/>
      <x:c r="AA35" s="744"/>
      <x:c r="AB35" s="859"/>
      <x:c r="AC35" s="114"/>
      <x:c r="AD35" s="77"/>
      <x:c r="AE35" s="77"/>
      <x:c r="AF35" s="77"/>
      <x:c r="AG35" s="115"/>
      <x:c r="AH35" s="77"/>
      <x:c r="AI35" s="77"/>
      <x:c r="AJ35" s="77"/>
      <x:c r="AK35" s="77"/>
      <x:c r="AL35" s="151"/>
      <x:c r="AM35" s="1252"/>
      <x:c r="AN35" s="1253"/>
      <x:c r="AO35" s="1253"/>
      <x:c r="AP35" s="1253"/>
      <x:c r="AQ35" s="1253"/>
      <x:c r="AR35" s="1254"/>
      <x:c r="AS35" s="4"/>
      <x:c r="AU35" s="2"/>
    </x:row>
    <x:row r="36" spans="1:46" ht="17.149999999999999">
      <x:c r="A36" s="854" t="s">
        <x:v>311</x:v>
      </x:c>
      <x:c r="B36" s="433" t="s">
        <x:v>362</x:v>
      </x:c>
      <x:c r="C36" s="424" t="s">
        <x:v>209</x:v>
      </x:c>
      <x:c r="D36" s="424" t="s">
        <x:v>378</x:v>
      </x:c>
      <x:c r="E36" s="434"/>
      <x:c r="F36" s="434"/>
      <x:c r="G36" s="434"/>
      <x:c r="H36" s="434"/>
      <x:c r="I36" s="435"/>
      <x:c r="J36" s="426"/>
      <x:c r="K36" s="427" t="s">
        <x:v>220</x:v>
      </x:c>
      <x:c r="L36" s="427" t="s">
        <x:v>220</x:v>
      </x:c>
      <x:c r="M36" s="425"/>
      <x:c r="N36" s="354"/>
      <x:c r="O36" s="355"/>
      <x:c r="P36" s="355"/>
      <x:c r="Q36" s="349" t="s">
        <x:v>323</x:v>
      </x:c>
      <x:c r="R36" s="657"/>
      <x:c r="S36" s="446"/>
      <x:c r="T36" s="349" t="s">
        <x:v>135</x:v>
      </x:c>
      <x:c r="U36" s="349"/>
      <x:c r="V36" s="349"/>
      <x:c r="W36" s="350"/>
      <x:c r="X36" s="354" t="s">
        <x:v>47</x:v>
      </x:c>
      <x:c r="Y36" s="349" t="s">
        <x:v>86</x:v>
      </x:c>
      <x:c r="Z36" s="349"/>
      <x:c r="AA36" s="349"/>
      <x:c r="AB36" s="350"/>
      <x:c r="AC36" s="446"/>
      <x:c r="AD36" s="348"/>
      <x:c r="AE36" s="348"/>
      <x:c r="AF36" s="348"/>
      <x:c r="AG36" s="351" t="s">
        <x:v>54</x:v>
      </x:c>
      <x:c r="AH36" s="348"/>
      <x:c r="AI36" s="348"/>
      <x:c r="AJ36" s="348"/>
      <x:c r="AK36" s="348"/>
      <x:c r="AL36" s="352"/>
      <x:c r="AM36" s="1138"/>
      <x:c r="AN36" s="1139"/>
      <x:c r="AO36" s="1139"/>
      <x:c r="AP36" s="1139"/>
      <x:c r="AQ36" s="1139"/>
      <x:c r="AR36" s="1140"/>
      <x:c r="AS36" s="286" t="s">
        <x:v>43</x:v>
      </x:c>
      <x:c r="AT36" s="286" t="s">
        <x:v>145</x:v>
      </x:c>
    </x:row>
    <x:row r="37" spans="1:45" ht="16.75">
      <x:c r="A37" s="54" t="s">
        <x:v>270</x:v>
      </x:c>
      <x:c r="B37" s="94"/>
      <x:c r="C37" s="74"/>
      <x:c r="D37" s="74"/>
      <x:c r="E37" s="74"/>
      <x:c r="F37" s="74"/>
      <x:c r="G37" s="74"/>
      <x:c r="H37" s="74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656" t="s">
        <x:v>236</x:v>
      </x:c>
      <x:c r="S37" s="105"/>
      <x:c r="T37" s="105"/>
      <x:c r="U37" s="105"/>
      <x:c r="V37" s="105"/>
      <x:c r="W37" s="105"/>
      <x:c r="X37" s="236"/>
      <x:c r="Y37" s="105"/>
      <x:c r="Z37" s="105"/>
      <x:c r="AA37" s="105"/>
      <x:c r="AB37" s="105"/>
      <x:c r="AC37" s="105"/>
      <x:c r="AD37" s="105"/>
      <x:c r="AE37" s="105"/>
      <x:c r="AF37" s="105"/>
      <x:c r="AG37" s="105"/>
      <x:c r="AH37" s="105"/>
      <x:c r="AI37" s="105"/>
      <x:c r="AJ37" s="105"/>
      <x:c r="AK37" s="105"/>
      <x:c r="AL37" s="105"/>
      <x:c r="AM37" s="113"/>
      <x:c r="AN37" s="113"/>
      <x:c r="AO37" s="113"/>
      <x:c r="AP37" s="113"/>
      <x:c r="AQ37" s="113"/>
      <x:c r="AR37" s="113"/>
      <x:c r="AS37" s="4"/>
    </x:row>
    <x:row r="38" spans="1:50" ht="16.75">
      <x:c r="A38" s="1177" t="s">
        <x:v>134</x:v>
      </x:c>
      <x:c r="B38" s="262" t="s">
        <x:v>401</x:v>
      </x:c>
      <x:c r="C38" s="263" t="s">
        <x:v>218</x:v>
      </x:c>
      <x:c r="D38" s="264" t="s">
        <x:v>375</x:v>
      </x:c>
      <x:c r="E38" s="238"/>
      <x:c r="F38" s="45"/>
      <x:c r="G38" s="45"/>
      <x:c r="H38" s="45"/>
      <x:c r="I38" s="274"/>
      <x:c r="J38" s="307"/>
      <x:c r="K38" s="307"/>
      <x:c r="L38" s="307" t="s">
        <x:v>298</x:v>
      </x:c>
      <x:c r="M38" s="134"/>
      <x:c r="N38" s="274"/>
      <x:c r="O38" s="307"/>
      <x:c r="P38" s="307"/>
      <x:c r="Q38" s="593"/>
      <x:c r="R38" s="138"/>
      <x:c r="S38" s="665"/>
      <x:c r="T38" s="593"/>
      <x:c r="U38" s="593"/>
      <x:c r="V38" s="593"/>
      <x:c r="W38" s="138"/>
      <x:c r="X38" s="141" t="s">
        <x:v>47</x:v>
      </x:c>
      <x:c r="Y38" s="593"/>
      <x:c r="Z38" s="593"/>
      <x:c r="AA38" s="593"/>
      <x:c r="AB38" s="138"/>
      <x:c r="AC38" s="665"/>
      <x:c r="AD38" s="57"/>
      <x:c r="AE38" s="57"/>
      <x:c r="AF38" s="57"/>
      <x:c r="AG38" s="121" t="s">
        <x:v>54</x:v>
      </x:c>
      <x:c r="AH38" s="57"/>
      <x:c r="AI38" s="57"/>
      <x:c r="AJ38" s="57"/>
      <x:c r="AK38" s="57"/>
      <x:c r="AL38" s="149"/>
      <x:c r="AM38" s="1026" t="s">
        <x:v>29</x:v>
      </x:c>
      <x:c r="AN38" s="1027" t="s">
        <x:v>29</x:v>
      </x:c>
      <x:c r="AO38" s="1027" t="s">
        <x:v>29</x:v>
      </x:c>
      <x:c r="AP38" s="1027" t="s">
        <x:v>29</x:v>
      </x:c>
      <x:c r="AQ38" s="1027" t="s">
        <x:v>29</x:v>
      </x:c>
      <x:c r="AR38" s="1028" t="s">
        <x:v>29</x:v>
      </x:c>
      <x:c r="AS38" s="286" t="s">
        <x:v>43</x:v>
      </x:c>
      <x:c r="AT38" s="286" t="s">
        <x:v>145</x:v>
      </x:c>
      <x:c r="AV38" s="28"/>
      <x:c r="AX38" s="3"/>
    </x:row>
    <x:row r="39" spans="1:46">
      <x:c r="A39" s="1219"/>
      <x:c r="B39" s="252" t="s">
        <x:v>190</x:v>
      </x:c>
      <x:c r="C39" s="50" t="s">
        <x:v>218</x:v>
      </x:c>
      <x:c r="D39" s="203" t="s">
        <x:v>378</x:v>
      </x:c>
      <x:c r="E39" s="239"/>
      <x:c r="F39" s="48"/>
      <x:c r="G39" s="48"/>
      <x:c r="H39" s="48"/>
      <x:c r="I39" s="275"/>
      <x:c r="J39" s="306"/>
      <x:c r="K39" s="306"/>
      <x:c r="L39" s="306" t="s">
        <x:v>298</x:v>
      </x:c>
      <x:c r="M39" s="135"/>
      <x:c r="N39" s="275"/>
      <x:c r="O39" s="306"/>
      <x:c r="P39" s="306"/>
      <x:c r="Q39" s="302"/>
      <x:c r="R39" s="666"/>
      <x:c r="S39" s="679" t="s">
        <x:v>119</x:v>
      </x:c>
      <x:c r="T39" s="302"/>
      <x:c r="U39" s="302"/>
      <x:c r="V39" s="302"/>
      <x:c r="W39" s="139"/>
      <x:c r="X39" s="142" t="s">
        <x:v>47</x:v>
      </x:c>
      <x:c r="Y39" s="302"/>
      <x:c r="Z39" s="146"/>
      <x:c r="AA39" s="302"/>
      <x:c r="AB39" s="139"/>
      <x:c r="AC39" s="292"/>
      <x:c r="AD39" s="71"/>
      <x:c r="AE39" s="71"/>
      <x:c r="AF39" s="71"/>
      <x:c r="AG39" s="122" t="s">
        <x:v>54</x:v>
      </x:c>
      <x:c r="AH39" s="71"/>
      <x:c r="AI39" s="71"/>
      <x:c r="AJ39" s="71"/>
      <x:c r="AK39" s="71"/>
      <x:c r="AL39" s="150"/>
      <x:c r="AM39" s="1029" t="s">
        <x:v>31</x:v>
      </x:c>
      <x:c r="AN39" s="1030"/>
      <x:c r="AO39" s="1030"/>
      <x:c r="AP39" s="1030"/>
      <x:c r="AQ39" s="1030"/>
      <x:c r="AR39" s="1031"/>
      <x:c r="AS39" s="286" t="s">
        <x:v>43</x:v>
      </x:c>
      <x:c r="AT39" s="286"/>
    </x:row>
    <x:row r="40" spans="1:45">
      <x:c r="A40" s="1219"/>
      <x:c r="B40" s="265" t="s">
        <x:v>377</x:v>
      </x:c>
      <x:c r="C40" s="50" t="s">
        <x:v>218</x:v>
      </x:c>
      <x:c r="D40" s="203" t="s">
        <x:v>378</x:v>
      </x:c>
      <x:c r="E40" s="239"/>
      <x:c r="F40" s="48"/>
      <x:c r="G40" s="48"/>
      <x:c r="H40" s="48"/>
      <x:c r="I40" s="275"/>
      <x:c r="J40" s="306" t="s">
        <x:v>238</x:v>
      </x:c>
      <x:c r="K40" s="306"/>
      <x:c r="L40" s="306"/>
      <x:c r="M40" s="135"/>
      <x:c r="N40" s="288"/>
      <x:c r="O40" s="306"/>
      <x:c r="P40" s="306"/>
      <x:c r="Q40" s="306" t="s">
        <x:v>303</x:v>
      </x:c>
      <x:c r="R40" s="605"/>
      <x:c r="S40" s="292"/>
      <x:c r="T40" s="302"/>
      <x:c r="U40" s="302"/>
      <x:c r="V40" s="302" t="s">
        <x:v>303</x:v>
      </x:c>
      <x:c r="W40" s="139"/>
      <x:c r="X40" s="969" t="s">
        <x:v>47</x:v>
      </x:c>
      <x:c r="Y40" s="302"/>
      <x:c r="Z40" s="302"/>
      <x:c r="AA40" s="302"/>
      <x:c r="AB40" s="139"/>
      <x:c r="AC40" s="292"/>
      <x:c r="AD40" s="71"/>
      <x:c r="AE40" s="71"/>
      <x:c r="AF40" s="71"/>
      <x:c r="AG40" s="122" t="s">
        <x:v>112</x:v>
      </x:c>
      <x:c r="AH40" s="71"/>
      <x:c r="AI40" s="71"/>
      <x:c r="AJ40" s="71"/>
      <x:c r="AK40" s="71"/>
      <x:c r="AL40" s="150"/>
      <x:c r="AM40" s="1029" t="s">
        <x:v>75</x:v>
      </x:c>
      <x:c r="AN40" s="1030"/>
      <x:c r="AO40" s="1030"/>
      <x:c r="AP40" s="1030"/>
      <x:c r="AQ40" s="1030"/>
      <x:c r="AR40" s="1031"/>
      <x:c r="AS40" s="885" t="s">
        <x:v>306</x:v>
      </x:c>
    </x:row>
    <x:row r="41" spans="1:49">
      <x:c r="A41" s="1219"/>
      <x:c r="B41" s="50" t="s">
        <x:v>169</x:v>
      </x:c>
      <x:c r="C41" s="50" t="s">
        <x:v>367</x:v>
      </x:c>
      <x:c r="D41" s="203" t="s">
        <x:v>375</x:v>
      </x:c>
      <x:c r="E41" s="130"/>
      <x:c r="F41" s="79"/>
      <x:c r="G41" s="79"/>
      <x:c r="H41" s="79"/>
      <x:c r="I41" s="299"/>
      <x:c r="J41" s="308"/>
      <x:c r="K41" s="308"/>
      <x:c r="L41" s="308"/>
      <x:c r="M41" s="136"/>
      <x:c r="N41" s="473"/>
      <x:c r="O41" s="302" t="s">
        <x:v>176</x:v>
      </x:c>
      <x:c r="P41" s="302" t="s">
        <x:v>163</x:v>
      </x:c>
      <x:c r="Q41" s="306" t="s">
        <x:v>272</x:v>
      </x:c>
      <x:c r="R41" s="678"/>
      <x:c r="S41" s="292" t="s">
        <x:v>272</x:v>
      </x:c>
      <x:c r="T41" s="812" t="s">
        <x:v>249</x:v>
      </x:c>
      <x:c r="U41" s="302" t="s">
        <x:v>169</x:v>
      </x:c>
      <x:c r="V41" s="302" t="s">
        <x:v>176</x:v>
      </x:c>
      <x:c r="W41" s="139"/>
      <x:c r="X41" s="143" t="s">
        <x:v>47</x:v>
      </x:c>
      <x:c r="Y41" s="357" t="s">
        <x:v>97</x:v>
      </x:c>
      <x:c r="Z41" s="357"/>
      <x:c r="AA41" s="357"/>
      <x:c r="AB41" s="140"/>
      <x:c r="AC41" s="356"/>
      <x:c r="AD41" s="77"/>
      <x:c r="AE41" s="77"/>
      <x:c r="AF41" s="77"/>
      <x:c r="AG41" s="115" t="s">
        <x:v>54</x:v>
      </x:c>
      <x:c r="AH41" s="77"/>
      <x:c r="AI41" s="77"/>
      <x:c r="AJ41" s="77"/>
      <x:c r="AK41" s="77"/>
      <x:c r="AL41" s="151"/>
      <x:c r="AM41" s="1032" t="s">
        <x:v>143</x:v>
      </x:c>
      <x:c r="AN41" s="1033"/>
      <x:c r="AO41" s="1033"/>
      <x:c r="AP41" s="1033"/>
      <x:c r="AQ41" s="1033"/>
      <x:c r="AR41" s="1034"/>
      <x:c r="AS41" s="286" t="s">
        <x:v>43</x:v>
      </x:c>
      <x:c r="AT41" s="286" t="s">
        <x:v>145</x:v>
      </x:c>
      <x:c r="AU41" s="2"/>
      <x:c r="AW41" s="4"/>
    </x:row>
    <x:row r="42" spans="1:46" ht="16.75">
      <x:c r="A42" s="1220"/>
      <x:c r="B42" s="53" t="s">
        <x:v>355</x:v>
      </x:c>
      <x:c r="C42" s="53" t="s">
        <x:v>367</x:v>
      </x:c>
      <x:c r="D42" s="166" t="s">
        <x:v>378</x:v>
      </x:c>
      <x:c r="E42" s="240"/>
      <x:c r="F42" s="49"/>
      <x:c r="G42" s="49"/>
      <x:c r="H42" s="49"/>
      <x:c r="I42" s="813"/>
      <x:c r="J42" s="309"/>
      <x:c r="K42" s="309"/>
      <x:c r="L42" s="309"/>
      <x:c r="M42" s="258"/>
      <x:c r="N42" s="92"/>
      <x:c r="O42" s="311" t="s">
        <x:v>281</x:v>
      </x:c>
      <x:c r="P42" s="311" t="s">
        <x:v>179</x:v>
      </x:c>
      <x:c r="Q42" s="80"/>
      <x:c r="R42" s="814" t="s">
        <x:v>38</x:v>
      </x:c>
      <x:c r="S42" s="120"/>
      <x:c r="T42" s="146" t="s">
        <x:v>240</x:v>
      </x:c>
      <x:c r="U42" s="71"/>
      <x:c r="V42" s="302" t="s">
        <x:v>355</x:v>
      </x:c>
      <x:c r="W42" s="678"/>
      <x:c r="X42" s="686"/>
      <x:c r="Y42" s="385"/>
      <x:c r="Z42" s="302" t="s">
        <x:v>399</x:v>
      </x:c>
      <x:c r="AA42" s="385"/>
      <x:c r="AB42" s="678"/>
      <x:c r="AC42" s="970" t="s">
        <x:v>119</x:v>
      </x:c>
      <x:c r="AD42" s="71"/>
      <x:c r="AE42" s="71"/>
      <x:c r="AF42" s="71"/>
      <x:c r="AG42" s="122"/>
      <x:c r="AH42" s="71"/>
      <x:c r="AI42" s="71"/>
      <x:c r="AJ42" s="71"/>
      <x:c r="AK42" s="71"/>
      <x:c r="AL42" s="150"/>
      <x:c r="AM42" s="1099" t="s">
        <x:v>422</x:v>
      </x:c>
      <x:c r="AN42" s="1100"/>
      <x:c r="AO42" s="1100"/>
      <x:c r="AP42" s="1100"/>
      <x:c r="AQ42" s="1100"/>
      <x:c r="AR42" s="1101"/>
      <x:c r="AS42" s="2"/>
      <x:c r="AT42" s="8"/>
    </x:row>
    <x:row r="43" spans="1:47" s="19" customFormat="1" ht="16.75">
      <x:c r="A43" s="1221"/>
      <x:c r="B43" s="90" t="s">
        <x:v>219</x:v>
      </x:c>
      <x:c r="C43" s="53" t="s">
        <x:v>275</x:v>
      </x:c>
      <x:c r="D43" s="187" t="s">
        <x:v>378</x:v>
      </x:c>
      <x:c r="E43" s="966"/>
      <x:c r="F43" s="967"/>
      <x:c r="G43" s="967"/>
      <x:c r="H43" s="967"/>
      <x:c r="I43" s="725"/>
      <x:c r="J43" s="726"/>
      <x:c r="K43" s="726"/>
      <x:c r="L43" s="726"/>
      <x:c r="M43" s="451"/>
      <x:c r="N43" s="725"/>
      <x:c r="O43" s="388"/>
      <x:c r="P43" s="388"/>
      <x:c r="Q43" s="388"/>
      <x:c r="R43" s="968"/>
      <x:c r="S43" s="686"/>
      <x:c r="T43" s="385"/>
      <x:c r="U43" s="385"/>
      <x:c r="V43" s="385"/>
      <x:c r="W43" s="678"/>
      <x:c r="X43" s="686"/>
      <x:c r="Y43" s="385"/>
      <x:c r="Z43" s="385"/>
      <x:c r="AA43" s="385"/>
      <x:c r="AB43" s="678"/>
      <x:c r="AC43" s="686"/>
      <x:c r="AD43" s="71"/>
      <x:c r="AE43" s="385"/>
      <x:c r="AF43" s="385"/>
      <x:c r="AG43" s="678"/>
      <x:c r="AH43" s="385"/>
      <x:c r="AI43" s="385"/>
      <x:c r="AJ43" s="385"/>
      <x:c r="AK43" s="385"/>
      <x:c r="AL43" s="386"/>
      <x:c r="AM43" s="1261"/>
      <x:c r="AN43" s="1262"/>
      <x:c r="AO43" s="1262"/>
      <x:c r="AP43" s="1262"/>
      <x:c r="AQ43" s="1262"/>
      <x:c r="AR43" s="1263"/>
      <x:c r="AS43" s="719"/>
      <x:c r="AT43" s="719"/>
      <x:c r="AU43" s="719"/>
    </x:row>
    <x:row r="44" spans="1:47" s="20" customFormat="1" ht="16.75">
      <x:c r="A44" s="1222" t="s">
        <x:v>78</x:v>
      </x:c>
      <x:c r="B44" s="73"/>
      <x:c r="C44" s="73"/>
      <x:c r="D44" s="226"/>
      <x:c r="E44" s="240"/>
      <x:c r="F44" s="49"/>
      <x:c r="G44" s="49"/>
      <x:c r="H44" s="49"/>
      <x:c r="I44" s="813"/>
      <x:c r="J44" s="309"/>
      <x:c r="K44" s="309"/>
      <x:c r="L44" s="309"/>
      <x:c r="M44" s="258"/>
      <x:c r="N44" s="92"/>
      <x:c r="O44" s="311" t="s">
        <x:v>281</x:v>
      </x:c>
      <x:c r="P44" s="311" t="s">
        <x:v>179</x:v>
      </x:c>
      <x:c r="Q44" s="80"/>
      <x:c r="R44" s="814" t="s">
        <x:v>38</x:v>
      </x:c>
      <x:c r="S44" s="116"/>
      <x:c r="T44" s="148"/>
      <x:c r="U44" s="80"/>
      <x:c r="V44" s="311"/>
      <x:c r="W44" s="389"/>
      <x:c r="X44" s="387"/>
      <x:c r="Y44" s="388"/>
      <x:c r="Z44" s="388"/>
      <x:c r="AA44" s="388"/>
      <x:c r="AB44" s="389"/>
      <x:c r="AC44" s="116"/>
      <x:c r="AD44" s="80" t="s">
        <x:v>393</x:v>
      </x:c>
      <x:c r="AE44" s="80"/>
      <x:c r="AF44" s="80"/>
      <x:c r="AG44" s="117"/>
      <x:c r="AH44" s="80"/>
      <x:c r="AI44" s="80"/>
      <x:c r="AJ44" s="80"/>
      <x:c r="AK44" s="80"/>
      <x:c r="AL44" s="152"/>
      <x:c r="AM44" s="1186"/>
      <x:c r="AN44" s="1187"/>
      <x:c r="AO44" s="1187"/>
      <x:c r="AP44" s="1187"/>
      <x:c r="AQ44" s="1187"/>
      <x:c r="AR44" s="1188"/>
      <x:c r="AS44" s="4"/>
      <x:c r="AU44" s="2"/>
    </x:row>
    <x:row r="45" spans="1:45" ht="16.75">
      <x:c r="A45" s="54" t="s">
        <x:v>261</x:v>
      </x:c>
      <x:c r="B45" s="94"/>
      <x:c r="C45" s="74"/>
      <x:c r="D45" s="74"/>
      <x:c r="E45" s="74"/>
      <x:c r="F45" s="74"/>
      <x:c r="G45" s="74"/>
      <x:c r="H45" s="74"/>
      <x:c r="I45" s="105"/>
      <x:c r="J45" s="105"/>
      <x:c r="K45" s="337" t="s">
        <x:v>272</x:v>
      </x:c>
      <x:c r="L45" s="105"/>
      <x:c r="M45" s="105"/>
      <x:c r="N45" s="105"/>
      <x:c r="O45" s="39"/>
      <x:c r="P45" s="586" t="s">
        <x:v>355</x:v>
      </x:c>
      <x:c r="Q45" s="105"/>
      <x:c r="R45" s="105"/>
      <x:c r="S45" s="105"/>
      <x:c r="T45" s="105"/>
      <x:c r="U45" s="105"/>
      <x:c r="V45" s="105"/>
      <x:c r="W45" s="105"/>
      <x:c r="X45" s="236"/>
      <x:c r="Y45" s="105"/>
      <x:c r="Z45" s="105"/>
      <x:c r="AA45" s="105"/>
      <x:c r="AB45" s="105"/>
      <x:c r="AC45" s="105"/>
      <x:c r="AD45" s="105"/>
      <x:c r="AE45" s="105"/>
      <x:c r="AF45" s="105"/>
      <x:c r="AG45" s="105"/>
      <x:c r="AH45" s="105"/>
      <x:c r="AI45" s="105"/>
      <x:c r="AJ45" s="105"/>
      <x:c r="AK45" s="105"/>
      <x:c r="AL45" s="105"/>
      <x:c r="AM45" s="113"/>
      <x:c r="AN45" s="113"/>
      <x:c r="AO45" s="113"/>
      <x:c r="AP45" s="113"/>
      <x:c r="AQ45" s="113"/>
      <x:c r="AR45" s="113"/>
      <x:c r="AS45" s="4"/>
    </x:row>
    <x:row r="46" spans="1:48" ht="16.75" customHeight="1">
      <x:c r="A46" s="1229" t="s">
        <x:v>139</x:v>
      </x:c>
      <x:c r="B46" s="566" t="s">
        <x:v>193</x:v>
      </x:c>
      <x:c r="C46" s="63" t="s">
        <x:v>159</x:v>
      </x:c>
      <x:c r="D46" s="321" t="s">
        <x:v>378</x:v>
      </x:c>
      <x:c r="E46" s="45"/>
      <x:c r="F46" s="45"/>
      <x:c r="G46" s="45"/>
      <x:c r="H46" s="45"/>
      <x:c r="I46" s="301"/>
      <x:c r="J46" s="307"/>
      <x:c r="K46" s="307"/>
      <x:c r="L46" s="307"/>
      <x:c r="M46" s="134"/>
      <x:c r="N46" s="444"/>
      <x:c r="O46" s="307"/>
      <x:c r="P46" s="153"/>
      <x:c r="Q46" s="332" t="s">
        <x:v>119</x:v>
      </x:c>
      <x:c r="R46" s="138"/>
      <x:c r="S46" s="665"/>
      <x:c r="T46" s="593"/>
      <x:c r="U46" s="332" t="s">
        <x:v>119</x:v>
      </x:c>
      <x:c r="V46" s="145" t="s">
        <x:v>310</x:v>
      </x:c>
      <x:c r="W46" s="138"/>
      <x:c r="X46" s="141" t="s">
        <x:v>47</x:v>
      </x:c>
      <x:c r="Y46" s="145"/>
      <x:c r="Z46" s="593"/>
      <x:c r="AA46" s="593"/>
      <x:c r="AB46" s="138"/>
      <x:c r="AC46" s="665"/>
      <x:c r="AD46" s="57"/>
      <x:c r="AE46" s="57"/>
      <x:c r="AF46" s="57"/>
      <x:c r="AG46" s="121" t="s">
        <x:v>54</x:v>
      </x:c>
      <x:c r="AH46" s="57"/>
      <x:c r="AI46" s="57"/>
      <x:c r="AJ46" s="57"/>
      <x:c r="AK46" s="57"/>
      <x:c r="AL46" s="149"/>
      <x:c r="AM46" s="1213" t="s">
        <x:v>68</x:v>
      </x:c>
      <x:c r="AN46" s="1214"/>
      <x:c r="AO46" s="1214"/>
      <x:c r="AP46" s="1214"/>
      <x:c r="AQ46" s="1214"/>
      <x:c r="AR46" s="1215"/>
      <x:c r="AS46" s="286" t="s">
        <x:v>43</x:v>
      </x:c>
      <x:c r="AT46" s="286" t="s">
        <x:v>145</x:v>
      </x:c>
      <x:c r="AV46" s="28"/>
    </x:row>
    <x:row r="47" spans="1:48">
      <x:c r="A47" s="1230"/>
      <x:c r="B47" s="252" t="s">
        <x:v>183</x:v>
      </x:c>
      <x:c r="C47" s="53" t="s">
        <x:v>367</x:v>
      </x:c>
      <x:c r="D47" s="175" t="s">
        <x:v>375</x:v>
      </x:c>
      <x:c r="E47" s="48"/>
      <x:c r="F47" s="48"/>
      <x:c r="G47" s="48"/>
      <x:c r="H47" s="48"/>
      <x:c r="I47" s="275"/>
      <x:c r="J47" s="306"/>
      <x:c r="K47" s="306"/>
      <x:c r="L47" s="306"/>
      <x:c r="M47" s="135"/>
      <x:c r="N47" s="275"/>
      <x:c r="O47" s="306"/>
      <x:c r="P47" s="306"/>
      <x:c r="Q47" s="302"/>
      <x:c r="R47" s="600" t="s">
        <x:v>97</x:v>
      </x:c>
      <x:c r="S47" s="292"/>
      <x:c r="T47" s="302"/>
      <x:c r="U47" s="302" t="s">
        <x:v>90</x:v>
      </x:c>
      <x:c r="V47" s="146" t="s">
        <x:v>65</x:v>
      </x:c>
      <x:c r="W47" s="139"/>
      <x:c r="X47" s="142" t="s">
        <x:v>47</x:v>
      </x:c>
      <x:c r="Y47" s="302"/>
      <x:c r="Z47" s="302"/>
      <x:c r="AA47" s="302"/>
      <x:c r="AB47" s="139"/>
      <x:c r="AC47" s="120" t="s">
        <x:v>119</x:v>
      </x:c>
      <x:c r="AD47" s="71" t="s">
        <x:v>119</x:v>
      </x:c>
      <x:c r="AE47" s="71"/>
      <x:c r="AF47" s="71"/>
      <x:c r="AG47" s="122" t="s">
        <x:v>54</x:v>
      </x:c>
      <x:c r="AH47" s="71"/>
      <x:c r="AI47" s="71"/>
      <x:c r="AJ47" s="71"/>
      <x:c r="AK47" s="71"/>
      <x:c r="AL47" s="150"/>
      <x:c r="AM47" s="1216"/>
      <x:c r="AN47" s="1217"/>
      <x:c r="AO47" s="1217"/>
      <x:c r="AP47" s="1217"/>
      <x:c r="AQ47" s="1217"/>
      <x:c r="AR47" s="1218"/>
      <x:c r="AS47" s="286" t="s">
        <x:v>43</x:v>
      </x:c>
      <x:c r="AV47" s="28"/>
    </x:row>
    <x:row r="48" spans="1:47" s="34" customFormat="1">
      <x:c r="A48" s="1230"/>
      <x:c r="B48" s="281" t="s">
        <x:v>354</x:v>
      </x:c>
      <x:c r="C48" s="282" t="s">
        <x:v>159</x:v>
      </x:c>
      <x:c r="D48" s="283" t="s">
        <x:v>378</x:v>
      </x:c>
      <x:c r="E48" s="284"/>
      <x:c r="F48" s="284"/>
      <x:c r="G48" s="284"/>
      <x:c r="H48" s="284"/>
      <x:c r="I48" s="285" t="s">
        <x:v>330</x:v>
      </x:c>
      <x:c r="J48" s="146" t="s">
        <x:v>326</x:v>
      </x:c>
      <x:c r="K48" s="146" t="s">
        <x:v>302</x:v>
      </x:c>
      <x:c r="L48" s="146" t="s">
        <x:v>290</x:v>
      </x:c>
      <x:c r="M48" s="136"/>
      <x:c r="N48" s="277" t="s">
        <x:v>277</x:v>
      </x:c>
      <x:c r="O48" s="308"/>
      <x:c r="P48" s="308"/>
      <x:c r="Q48" s="595"/>
      <x:c r="R48" s="140"/>
      <x:c r="S48" s="356"/>
      <x:c r="T48" s="357"/>
      <x:c r="U48" s="357"/>
      <x:c r="V48" s="357"/>
      <x:c r="W48" s="140"/>
      <x:c r="X48" s="969" t="s">
        <x:v>47</x:v>
      </x:c>
      <x:c r="Y48" s="357"/>
      <x:c r="Z48" s="357" t="s">
        <x:v>72</x:v>
      </x:c>
      <x:c r="AA48" s="357"/>
      <x:c r="AB48" s="140"/>
      <x:c r="AC48" s="356"/>
      <x:c r="AD48" s="77"/>
      <x:c r="AE48" s="77"/>
      <x:c r="AF48" s="77"/>
      <x:c r="AG48" s="122" t="s">
        <x:v>54</x:v>
      </x:c>
      <x:c r="AH48" s="77"/>
      <x:c r="AI48" s="77"/>
      <x:c r="AJ48" s="77"/>
      <x:c r="AK48" s="77"/>
      <x:c r="AL48" s="151"/>
      <x:c r="AM48" s="1029" t="s">
        <x:v>30</x:v>
      </x:c>
      <x:c r="AN48" s="1030"/>
      <x:c r="AO48" s="1030"/>
      <x:c r="AP48" s="1030"/>
      <x:c r="AQ48" s="1030"/>
      <x:c r="AR48" s="1031"/>
      <x:c r="AS48" s="286" t="s">
        <x:v>43</x:v>
      </x:c>
      <x:c r="AT48" s="286" t="s">
        <x:v>145</x:v>
      </x:c>
      <x:c r="AU48" s="2"/>
    </x:row>
    <x:row r="49" spans="1:47" s="30" customFormat="1">
      <x:c r="A49" s="1230"/>
      <x:c r="B49" s="192" t="s">
        <x:v>381</x:v>
      </x:c>
      <x:c r="C49" s="192" t="s">
        <x:v>367</x:v>
      </x:c>
      <x:c r="D49" s="191" t="s">
        <x:v>375</x:v>
      </x:c>
      <x:c r="E49" s="300"/>
      <x:c r="F49" s="300"/>
      <x:c r="G49" s="300"/>
      <x:c r="H49" s="300"/>
      <x:c r="I49" s="335"/>
      <x:c r="J49" s="146"/>
      <x:c r="K49" s="302" t="s">
        <x:v>323</x:v>
      </x:c>
      <x:c r="L49" s="302"/>
      <x:c r="M49" s="136"/>
      <x:c r="N49" s="277" t="s">
        <x:v>98</x:v>
      </x:c>
      <x:c r="O49" s="308"/>
      <x:c r="P49" s="308"/>
      <x:c r="Q49" s="595"/>
      <x:c r="R49" s="599"/>
      <x:c r="S49" s="356" t="s">
        <x:v>136</x:v>
      </x:c>
      <x:c r="T49" s="357"/>
      <x:c r="U49" s="357" t="s">
        <x:v>45</x:v>
      </x:c>
      <x:c r="V49" s="357" t="s">
        <x:v>238</x:v>
      </x:c>
      <x:c r="W49" s="140"/>
      <x:c r="X49" s="969" t="s">
        <x:v>47</x:v>
      </x:c>
      <x:c r="Y49" s="357"/>
      <x:c r="Z49" s="357"/>
      <x:c r="AA49" s="357"/>
      <x:c r="AB49" s="140"/>
      <x:c r="AC49" s="143" t="s">
        <x:v>331</x:v>
      </x:c>
      <x:c r="AD49" s="77"/>
      <x:c r="AE49" s="77"/>
      <x:c r="AF49" s="77"/>
      <x:c r="AG49" s="115" t="s">
        <x:v>54</x:v>
      </x:c>
      <x:c r="AH49" s="77"/>
      <x:c r="AI49" s="77"/>
      <x:c r="AJ49" s="77"/>
      <x:c r="AK49" s="77"/>
      <x:c r="AL49" s="151"/>
      <x:c r="AM49" s="1102"/>
      <x:c r="AN49" s="1103"/>
      <x:c r="AO49" s="1103"/>
      <x:c r="AP49" s="1103"/>
      <x:c r="AQ49" s="1103"/>
      <x:c r="AR49" s="1104"/>
      <x:c r="AS49" s="286" t="s">
        <x:v>43</x:v>
      </x:c>
      <x:c r="AU49" s="2"/>
    </x:row>
    <x:row r="50" spans="1:47" s="34" customFormat="1">
      <x:c r="A50" s="1230"/>
      <x:c r="B50" s="190" t="s">
        <x:v>239</x:v>
      </x:c>
      <x:c r="C50" s="190" t="s">
        <x:v>275</x:v>
      </x:c>
      <x:c r="D50" s="191" t="s">
        <x:v>378</x:v>
      </x:c>
      <x:c r="E50" s="300"/>
      <x:c r="F50" s="300"/>
      <x:c r="G50" s="300"/>
      <x:c r="H50" s="300"/>
      <x:c r="I50" s="192"/>
      <x:c r="J50" s="334" t="s">
        <x:v>292</x:v>
      </x:c>
      <x:c r="K50" s="334" t="s">
        <x:v>355</x:v>
      </x:c>
      <x:c r="L50" s="334" t="s">
        <x:v>392</x:v>
      </x:c>
      <x:c r="M50" s="136"/>
      <x:c r="N50" s="277" t="s">
        <x:v>219</x:v>
      </x:c>
      <x:c r="O50" s="308" t="s">
        <x:v>241</x:v>
      </x:c>
      <x:c r="P50" s="308" t="s">
        <x:v>157</x:v>
      </x:c>
      <x:c r="Q50" s="357" t="s">
        <x:v>287</x:v>
      </x:c>
      <x:c r="R50" s="140"/>
      <x:c r="S50" s="356" t="s">
        <x:v>323</x:v>
      </x:c>
      <x:c r="T50" s="357"/>
      <x:c r="U50" s="357"/>
      <x:c r="V50" s="357"/>
      <x:c r="W50" s="140"/>
      <x:c r="X50" s="143" t="s">
        <x:v>47</x:v>
      </x:c>
      <x:c r="Y50" s="357"/>
      <x:c r="Z50" s="147" t="s">
        <x:v>94</x:v>
      </x:c>
      <x:c r="AA50" s="147" t="s">
        <x:v>238</x:v>
      </x:c>
      <x:c r="AB50" s="140"/>
      <x:c r="AC50" s="114"/>
      <x:c r="AD50" s="77"/>
      <x:c r="AE50" s="77"/>
      <x:c r="AF50" s="77"/>
      <x:c r="AG50" s="115" t="s">
        <x:v>54</x:v>
      </x:c>
      <x:c r="AH50" s="77"/>
      <x:c r="AI50" s="77"/>
      <x:c r="AJ50" s="77"/>
      <x:c r="AK50" s="77"/>
      <x:c r="AL50" s="151"/>
      <x:c r="AM50" s="1223" t="s">
        <x:v>5</x:v>
      </x:c>
      <x:c r="AN50" s="1224"/>
      <x:c r="AO50" s="1224"/>
      <x:c r="AP50" s="1224"/>
      <x:c r="AQ50" s="1224"/>
      <x:c r="AR50" s="1225"/>
      <x:c r="AS50" s="286" t="s">
        <x:v>43</x:v>
      </x:c>
      <x:c r="AT50" s="286"/>
      <x:c r="AU50" s="2"/>
    </x:row>
    <x:row r="51" spans="1:47" s="15" customFormat="1">
      <x:c r="A51" s="1231"/>
      <x:c r="B51" s="684"/>
      <x:c r="C51" s="363"/>
      <x:c r="D51" s="685"/>
      <x:c r="E51" s="300"/>
      <x:c r="F51" s="300"/>
      <x:c r="G51" s="300"/>
      <x:c r="H51" s="300"/>
      <x:c r="I51" s="364"/>
      <x:c r="J51" s="415"/>
      <x:c r="K51" s="415"/>
      <x:c r="L51" s="415"/>
      <x:c r="M51" s="136"/>
      <x:c r="N51" s="277"/>
      <x:c r="O51" s="308"/>
      <x:c r="P51" s="308"/>
      <x:c r="Q51" s="357"/>
      <x:c r="R51" s="140"/>
      <x:c r="S51" s="356" t="s">
        <x:v>280</x:v>
      </x:c>
      <x:c r="T51" s="357" t="s">
        <x:v>161</x:v>
      </x:c>
      <x:c r="U51" s="357" t="s">
        <x:v>347</x:v>
      </x:c>
      <x:c r="V51" s="357" t="s">
        <x:v>360</x:v>
      </x:c>
      <x:c r="W51" s="140"/>
      <x:c r="X51" s="382"/>
      <x:c r="Y51" s="147" t="s">
        <x:v>385</x:v>
      </x:c>
      <x:c r="Z51" s="77"/>
      <x:c r="AA51" s="77"/>
      <x:c r="AB51" s="384"/>
      <x:c r="AC51" s="114"/>
      <x:c r="AD51" s="77"/>
      <x:c r="AE51" s="77"/>
      <x:c r="AF51" s="77"/>
      <x:c r="AG51" s="115"/>
      <x:c r="AH51" s="77"/>
      <x:c r="AI51" s="77"/>
      <x:c r="AJ51" s="77"/>
      <x:c r="AK51" s="77"/>
      <x:c r="AL51" s="151"/>
      <x:c r="AM51" s="680"/>
      <x:c r="AN51" s="681"/>
      <x:c r="AO51" s="681"/>
      <x:c r="AP51" s="681"/>
      <x:c r="AQ51" s="681"/>
      <x:c r="AR51" s="682"/>
      <x:c r="AS51" s="4"/>
      <x:c r="AU51" s="2"/>
    </x:row>
    <x:row r="52" spans="1:45" ht="16.75">
      <x:c r="A52" s="1230" t="s">
        <x:v>78</x:v>
      </x:c>
      <x:c r="B52" s="265"/>
      <x:c r="C52" s="50"/>
      <x:c r="D52" s="783"/>
      <x:c r="E52" s="79"/>
      <x:c r="F52" s="79"/>
      <x:c r="G52" s="79"/>
      <x:c r="H52" s="79"/>
      <x:c r="I52" s="91"/>
      <x:c r="J52" s="61"/>
      <x:c r="K52" s="308" t="s">
        <x:v>357</x:v>
      </x:c>
      <x:c r="L52" s="308" t="s">
        <x:v>202</x:v>
      </x:c>
      <x:c r="M52" s="136"/>
      <x:c r="N52" s="91"/>
      <x:c r="O52" s="308" t="s">
        <x:v>359</x:v>
      </x:c>
      <x:c r="P52" s="61"/>
      <x:c r="Q52" s="308" t="s">
        <x:v>192</x:v>
      </x:c>
      <x:c r="R52" s="115"/>
      <x:c r="S52" s="356" t="s">
        <x:v>196</x:v>
      </x:c>
      <x:c r="T52" s="784" t="s">
        <x:v>362</x:v>
      </x:c>
      <x:c r="U52" s="77"/>
      <x:c r="V52" s="357" t="s">
        <x:v>181</x:v>
      </x:c>
      <x:c r="W52" s="140"/>
      <x:c r="X52" s="387"/>
      <x:c r="Y52" s="80"/>
      <x:c r="Z52" s="80"/>
      <x:c r="AA52" s="80"/>
      <x:c r="AB52" s="389"/>
      <x:c r="AC52" s="114"/>
      <x:c r="AD52" s="77"/>
      <x:c r="AE52" s="77"/>
      <x:c r="AF52" s="77"/>
      <x:c r="AG52" s="115"/>
      <x:c r="AH52" s="77"/>
      <x:c r="AI52" s="77"/>
      <x:c r="AJ52" s="77"/>
      <x:c r="AK52" s="77"/>
      <x:c r="AL52" s="151"/>
      <x:c r="AM52" s="1226"/>
      <x:c r="AN52" s="1227"/>
      <x:c r="AO52" s="1227"/>
      <x:c r="AP52" s="1227"/>
      <x:c r="AQ52" s="1227"/>
      <x:c r="AR52" s="1228"/>
      <x:c r="AS52" s="4"/>
    </x:row>
    <x:row r="53" spans="1:47" s="11" customFormat="1" ht="17.149999999999999">
      <x:c r="A53" s="358" t="s">
        <x:v>311</x:v>
      </x:c>
      <x:c r="B53" s="698" t="s">
        <x:v>204</x:v>
      </x:c>
      <x:c r="C53" s="699" t="s">
        <x:v>209</x:v>
      </x:c>
      <x:c r="D53" s="699" t="s">
        <x:v>378</x:v>
      </x:c>
      <x:c r="E53" s="785"/>
      <x:c r="F53" s="785"/>
      <x:c r="G53" s="785"/>
      <x:c r="H53" s="785"/>
      <x:c r="I53" s="786"/>
      <x:c r="J53" s="704"/>
      <x:c r="K53" s="702" t="s">
        <x:v>220</x:v>
      </x:c>
      <x:c r="L53" s="702" t="s">
        <x:v>220</x:v>
      </x:c>
      <x:c r="M53" s="703"/>
      <x:c r="N53" s="700"/>
      <x:c r="O53" s="701"/>
      <x:c r="P53" s="701"/>
      <x:c r="Q53" s="702" t="s">
        <x:v>323</x:v>
      </x:c>
      <x:c r="R53" s="787"/>
      <x:c r="S53" s="788"/>
      <x:c r="T53" s="789"/>
      <x:c r="U53" s="789"/>
      <x:c r="V53" s="789"/>
      <x:c r="W53" s="703"/>
      <x:c r="X53" s="971" t="s">
        <x:v>47</x:v>
      </x:c>
      <x:c r="Y53" s="972" t="s">
        <x:v>323</x:v>
      </x:c>
      <x:c r="Z53" s="973"/>
      <x:c r="AA53" s="973" t="s">
        <x:v>119</x:v>
      </x:c>
      <x:c r="AB53" s="974"/>
      <x:c r="AC53" s="700" t="s">
        <x:v>119</x:v>
      </x:c>
      <x:c r="AD53" s="704"/>
      <x:c r="AE53" s="704"/>
      <x:c r="AF53" s="704"/>
      <x:c r="AG53" s="790" t="s">
        <x:v>54</x:v>
      </x:c>
      <x:c r="AH53" s="704"/>
      <x:c r="AI53" s="704"/>
      <x:c r="AJ53" s="704"/>
      <x:c r="AK53" s="704"/>
      <x:c r="AL53" s="791"/>
      <x:c r="AM53" s="1198" t="s">
        <x:v>18</x:v>
      </x:c>
      <x:c r="AN53" s="1199"/>
      <x:c r="AO53" s="1199"/>
      <x:c r="AP53" s="1199"/>
      <x:c r="AQ53" s="1199"/>
      <x:c r="AR53" s="1200"/>
      <x:c r="AS53" s="286" t="s">
        <x:v>43</x:v>
      </x:c>
      <x:c r="AT53" s="286"/>
      <x:c r="AU53" s="2"/>
    </x:row>
    <x:row r="54" spans="1:45" ht="16.75">
      <x:c r="A54" s="54" t="s">
        <x:v>270</x:v>
      </x:c>
      <x:c r="B54" s="94"/>
      <x:c r="C54" s="74"/>
      <x:c r="D54" s="74"/>
      <x:c r="E54" s="74"/>
      <x:c r="F54" s="74"/>
      <x:c r="G54" s="74"/>
      <x:c r="H54" s="74"/>
      <x:c r="I54" s="105"/>
      <x:c r="J54" s="105"/>
      <x:c r="K54" s="833" t="s">
        <x:v>345</x:v>
      </x:c>
      <x:c r="L54" s="341" t="s">
        <x:v>192</x:v>
      </x:c>
      <x:c r="M54" s="105"/>
      <x:c r="N54" s="105"/>
      <x:c r="O54" s="105"/>
      <x:c r="P54" s="105"/>
      <x:c r="Q54" s="105"/>
      <x:c r="R54" s="105"/>
      <x:c r="S54" s="105"/>
      <x:c r="T54" s="105"/>
      <x:c r="U54" s="105"/>
      <x:c r="V54" s="105"/>
      <x:c r="W54" s="105"/>
      <x:c r="X54" s="236"/>
      <x:c r="Y54" s="105"/>
      <x:c r="Z54" s="105"/>
      <x:c r="AA54" s="105"/>
      <x:c r="AB54" s="105"/>
      <x:c r="AC54" s="105"/>
      <x:c r="AD54" s="105"/>
      <x:c r="AE54" s="105"/>
      <x:c r="AF54" s="105"/>
      <x:c r="AG54" s="105"/>
      <x:c r="AH54" s="105"/>
      <x:c r="AI54" s="105"/>
      <x:c r="AJ54" s="105"/>
      <x:c r="AK54" s="105"/>
      <x:c r="AL54" s="105"/>
      <x:c r="AM54" s="113"/>
      <x:c r="AN54" s="113"/>
      <x:c r="AO54" s="113"/>
      <x:c r="AP54" s="113"/>
      <x:c r="AQ54" s="113"/>
      <x:c r="AR54" s="113"/>
      <x:c r="AS54" s="4"/>
    </x:row>
    <x:row r="55" spans="1:46" ht="16.75" customHeight="1">
      <x:c r="A55" s="1229" t="s">
        <x:v>48</x:v>
      </x:c>
      <x:c r="B55" s="391" t="s">
        <x:v>215</x:v>
      </x:c>
      <x:c r="C55" s="63" t="s">
        <x:v>159</x:v>
      </x:c>
      <x:c r="D55" s="204" t="s">
        <x:v>378</x:v>
      </x:c>
      <x:c r="E55" s="238"/>
      <x:c r="F55" s="45"/>
      <x:c r="G55" s="45"/>
      <x:c r="H55" s="45"/>
      <x:c r="I55" s="307"/>
      <x:c r="J55" s="307"/>
      <x:c r="K55" s="307"/>
      <x:c r="L55" s="307"/>
      <x:c r="M55" s="153"/>
      <x:c r="N55" s="307"/>
      <x:c r="O55" s="153"/>
      <x:c r="P55" s="307"/>
      <x:c r="Q55" s="593"/>
      <x:c r="R55" s="589"/>
      <x:c r="S55" s="665"/>
      <x:c r="T55" s="593"/>
      <x:c r="U55" s="593"/>
      <x:c r="V55" s="593"/>
      <x:c r="W55" s="138"/>
      <x:c r="X55" s="751" t="s">
        <x:v>47</x:v>
      </x:c>
      <x:c r="Y55" s="145"/>
      <x:c r="Z55" s="593"/>
      <x:c r="AA55" s="593"/>
      <x:c r="AB55" s="138"/>
      <x:c r="AC55" s="975"/>
      <x:c r="AD55" s="57"/>
      <x:c r="AE55" s="57"/>
      <x:c r="AF55" s="57"/>
      <x:c r="AG55" s="57"/>
      <x:c r="AH55" s="57"/>
      <x:c r="AI55" s="57"/>
      <x:c r="AJ55" s="57"/>
      <x:c r="AK55" s="57"/>
      <x:c r="AL55" s="149"/>
      <x:c r="AM55" s="1212" t="s">
        <x:v>7</x:v>
      </x:c>
      <x:c r="AN55" s="1027"/>
      <x:c r="AO55" s="1027"/>
      <x:c r="AP55" s="1027"/>
      <x:c r="AQ55" s="1027"/>
      <x:c r="AR55" s="1028"/>
      <x:c r="AS55" s="286" t="s">
        <x:v>43</x:v>
      </x:c>
      <x:c r="AT55" s="286" t="s">
        <x:v>145</x:v>
      </x:c>
    </x:row>
    <x:row r="56" spans="1:46">
      <x:c r="A56" s="1230"/>
      <x:c r="B56" s="201" t="s">
        <x:v>201</x:v>
      </x:c>
      <x:c r="C56" s="53" t="s">
        <x:v>218</x:v>
      </x:c>
      <x:c r="D56" s="187" t="s">
        <x:v>375</x:v>
      </x:c>
      <x:c r="E56" s="239"/>
      <x:c r="F56" s="48"/>
      <x:c r="G56" s="48"/>
      <x:c r="H56" s="48"/>
      <x:c r="I56" s="306"/>
      <x:c r="J56" s="306"/>
      <x:c r="K56" s="306"/>
      <x:c r="L56" s="306"/>
      <x:c r="M56" s="154"/>
      <x:c r="N56" s="306"/>
      <x:c r="O56" s="306"/>
      <x:c r="P56" s="306"/>
      <x:c r="Q56" s="306"/>
      <x:c r="R56" s="831"/>
      <x:c r="S56" s="292"/>
      <x:c r="T56" s="302"/>
      <x:c r="U56" s="302"/>
      <x:c r="V56" s="302"/>
      <x:c r="W56" s="139"/>
      <x:c r="X56" s="142"/>
      <x:c r="Y56" s="302"/>
      <x:c r="Z56" s="302"/>
      <x:c r="AA56" s="302"/>
      <x:c r="AB56" s="139"/>
      <x:c r="AC56" s="459" t="s">
        <x:v>323</x:v>
      </x:c>
      <x:c r="AD56" s="71"/>
      <x:c r="AE56" s="71"/>
      <x:c r="AF56" s="71"/>
      <x:c r="AG56" s="71"/>
      <x:c r="AH56" s="71"/>
      <x:c r="AI56" s="71"/>
      <x:c r="AJ56" s="71"/>
      <x:c r="AK56" s="71"/>
      <x:c r="AL56" s="150"/>
      <x:c r="AM56" s="1029"/>
      <x:c r="AN56" s="1030"/>
      <x:c r="AO56" s="1030"/>
      <x:c r="AP56" s="1030"/>
      <x:c r="AQ56" s="1030"/>
      <x:c r="AR56" s="1031"/>
      <x:c r="AS56" s="286"/>
      <x:c r="AT56" s="286" t="s">
        <x:v>145</x:v>
      </x:c>
    </x:row>
    <x:row r="57" spans="1:46">
      <x:c r="A57" s="1230"/>
      <x:c r="B57" s="201" t="s">
        <x:v>363</x:v>
      </x:c>
      <x:c r="C57" s="53" t="s">
        <x:v>159</x:v>
      </x:c>
      <x:c r="D57" s="187" t="s">
        <x:v>375</x:v>
      </x:c>
      <x:c r="E57" s="239"/>
      <x:c r="F57" s="48"/>
      <x:c r="G57" s="48"/>
      <x:c r="H57" s="48"/>
      <x:c r="I57" s="306"/>
      <x:c r="J57" s="306"/>
      <x:c r="K57" s="306"/>
      <x:c r="L57" s="306" t="s">
        <x:v>127</x:v>
      </x:c>
      <x:c r="M57" s="154"/>
      <x:c r="N57" s="306"/>
      <x:c r="O57" s="306"/>
      <x:c r="P57" s="306" t="s">
        <x:v>79</x:v>
      </x:c>
      <x:c r="Q57" s="306" t="s">
        <x:v>265</x:v>
      </x:c>
      <x:c r="R57" s="831"/>
      <x:c r="S57" s="292"/>
      <x:c r="T57" s="302"/>
      <x:c r="U57" s="302"/>
      <x:c r="V57" s="302" t="s">
        <x:v>265</x:v>
      </x:c>
      <x:c r="W57" s="139"/>
      <x:c r="X57" s="142" t="s">
        <x:v>47</x:v>
      </x:c>
      <x:c r="Y57" s="302"/>
      <x:c r="Z57" s="302" t="s">
        <x:v>72</x:v>
      </x:c>
      <x:c r="AA57" s="302"/>
      <x:c r="AB57" s="139"/>
      <x:c r="AC57" s="459"/>
      <x:c r="AD57" s="71"/>
      <x:c r="AE57" s="71"/>
      <x:c r="AF57" s="71"/>
      <x:c r="AG57" s="71" t="s">
        <x:v>265</x:v>
      </x:c>
      <x:c r="AH57" s="71"/>
      <x:c r="AI57" s="71"/>
      <x:c r="AJ57" s="71"/>
      <x:c r="AK57" s="71"/>
      <x:c r="AL57" s="150"/>
      <x:c r="AM57" s="1029"/>
      <x:c r="AN57" s="1030"/>
      <x:c r="AO57" s="1030"/>
      <x:c r="AP57" s="1030"/>
      <x:c r="AQ57" s="1030"/>
      <x:c r="AR57" s="1031"/>
      <x:c r="AS57" s="286" t="s">
        <x:v>43</x:v>
      </x:c>
      <x:c r="AT57" s="286" t="s">
        <x:v>145</x:v>
      </x:c>
    </x:row>
    <x:row r="58" spans="1:48">
      <x:c r="A58" s="1230"/>
      <x:c r="B58" s="201" t="s">
        <x:v>379</x:v>
      </x:c>
      <x:c r="C58" s="72" t="s">
        <x:v>172</x:v>
      </x:c>
      <x:c r="D58" s="126" t="s">
        <x:v>375</x:v>
      </x:c>
      <x:c r="E58" s="239"/>
      <x:c r="F58" s="48"/>
      <x:c r="G58" s="48"/>
      <x:c r="H58" s="48"/>
      <x:c r="I58" s="306"/>
      <x:c r="J58" s="306"/>
      <x:c r="K58" s="306"/>
      <x:c r="L58" s="306"/>
      <x:c r="M58" s="154"/>
      <x:c r="N58" s="306"/>
      <x:c r="O58" s="306"/>
      <x:c r="P58" s="154"/>
      <x:c r="Q58" s="306"/>
      <x:c r="R58" s="831"/>
      <x:c r="S58" s="292"/>
      <x:c r="T58" s="302"/>
      <x:c r="U58" s="302"/>
      <x:c r="V58" s="146"/>
      <x:c r="W58" s="139"/>
      <x:c r="X58" s="442" t="s">
        <x:v>47</x:v>
      </x:c>
      <x:c r="Y58" s="302"/>
      <x:c r="Z58" s="302"/>
      <x:c r="AA58" s="302"/>
      <x:c r="AB58" s="139"/>
      <x:c r="AC58" s="459"/>
      <x:c r="AD58" s="71"/>
      <x:c r="AE58" s="71"/>
      <x:c r="AF58" s="71"/>
      <x:c r="AG58" s="71"/>
      <x:c r="AH58" s="71"/>
      <x:c r="AI58" s="71"/>
      <x:c r="AJ58" s="71"/>
      <x:c r="AK58" s="71"/>
      <x:c r="AL58" s="150"/>
      <x:c r="AM58" s="1029"/>
      <x:c r="AN58" s="1030"/>
      <x:c r="AO58" s="1030"/>
      <x:c r="AP58" s="1030"/>
      <x:c r="AQ58" s="1030"/>
      <x:c r="AR58" s="1031"/>
      <x:c r="AS58" s="286" t="s">
        <x:v>43</x:v>
      </x:c>
      <x:c r="AT58" s="286" t="s">
        <x:v>145</x:v>
      </x:c>
      <x:c r="AV58" s="10"/>
    </x:row>
    <x:row r="59" spans="1:46">
      <x:c r="A59" s="1230"/>
      <x:c r="B59" s="201" t="s">
        <x:v>212</x:v>
      </x:c>
      <x:c r="C59" s="71" t="s">
        <x:v>237</x:v>
      </x:c>
      <x:c r="D59" s="166" t="s">
        <x:v>375</x:v>
      </x:c>
      <x:c r="E59" s="239"/>
      <x:c r="F59" s="48"/>
      <x:c r="G59" s="48"/>
      <x:c r="H59" s="48"/>
      <x:c r="I59" s="72"/>
      <x:c r="J59" s="306" t="s">
        <x:v>272</x:v>
      </x:c>
      <x:c r="K59" s="72"/>
      <x:c r="L59" s="306" t="s">
        <x:v>351</x:v>
      </x:c>
      <x:c r="M59" s="154"/>
      <x:c r="N59" s="306" t="s">
        <x:v>62</x:v>
      </x:c>
      <x:c r="O59" s="306"/>
      <x:c r="P59" s="306"/>
      <x:c r="Q59" s="721"/>
      <x:c r="R59" s="831"/>
      <x:c r="S59" s="292"/>
      <x:c r="T59" s="302"/>
      <x:c r="U59" s="302"/>
      <x:c r="V59" s="378" t="s">
        <x:v>100</x:v>
      </x:c>
      <x:c r="W59" s="139"/>
      <x:c r="X59" s="442" t="s">
        <x:v>47</x:v>
      </x:c>
      <x:c r="Y59" s="302"/>
      <x:c r="Z59" s="302"/>
      <x:c r="AA59" s="302"/>
      <x:c r="AB59" s="139"/>
      <x:c r="AC59" s="459"/>
      <x:c r="AD59" s="71"/>
      <x:c r="AE59" s="71"/>
      <x:c r="AF59" s="71"/>
      <x:c r="AG59" s="71"/>
      <x:c r="AH59" s="71"/>
      <x:c r="AI59" s="71"/>
      <x:c r="AJ59" s="71"/>
      <x:c r="AK59" s="71" t="s">
        <x:v>303</x:v>
      </x:c>
      <x:c r="AL59" s="150"/>
      <x:c r="AM59" s="1029"/>
      <x:c r="AN59" s="1030"/>
      <x:c r="AO59" s="1030"/>
      <x:c r="AP59" s="1030"/>
      <x:c r="AQ59" s="1030"/>
      <x:c r="AR59" s="1031"/>
      <x:c r="AS59" s="286" t="s">
        <x:v>43</x:v>
      </x:c>
      <x:c r="AT59" s="286" t="s">
        <x:v>145</x:v>
      </x:c>
    </x:row>
    <x:row r="60" spans="1:46">
      <x:c r="A60" s="1231"/>
      <x:c r="B60" s="201" t="s">
        <x:v>260</x:v>
      </x:c>
      <x:c r="C60" s="71" t="s">
        <x:v>159</x:v>
      </x:c>
      <x:c r="D60" s="166" t="s">
        <x:v>375</x:v>
      </x:c>
      <x:c r="E60" s="239"/>
      <x:c r="F60" s="48"/>
      <x:c r="G60" s="48"/>
      <x:c r="H60" s="48"/>
      <x:c r="I60" s="71"/>
      <x:c r="J60" s="71"/>
      <x:c r="K60" s="71"/>
      <x:c r="L60" s="302" t="s">
        <x:v>272</x:v>
      </x:c>
      <x:c r="M60" s="146"/>
      <x:c r="N60" s="71"/>
      <x:c r="O60" s="71"/>
      <x:c r="P60" s="302" t="s">
        <x:v>272</x:v>
      </x:c>
      <x:c r="Q60" s="71"/>
      <x:c r="R60" s="831" t="s">
        <x:v>258</x:v>
      </x:c>
      <x:c r="S60" s="292" t="s">
        <x:v>323</x:v>
      </x:c>
      <x:c r="T60" s="302"/>
      <x:c r="U60" s="302"/>
      <x:c r="V60" s="302"/>
      <x:c r="W60" s="139"/>
      <x:c r="X60" s="143" t="s">
        <x:v>47</x:v>
      </x:c>
      <x:c r="Y60" s="302"/>
      <x:c r="Z60" s="302" t="s">
        <x:v>72</x:v>
      </x:c>
      <x:c r="AA60" s="302"/>
      <x:c r="AB60" s="139"/>
      <x:c r="AC60" s="459"/>
      <x:c r="AD60" s="71"/>
      <x:c r="AE60" s="71"/>
      <x:c r="AF60" s="71"/>
      <x:c r="AG60" s="71" t="s">
        <x:v>238</x:v>
      </x:c>
      <x:c r="AH60" s="71"/>
      <x:c r="AI60" s="71"/>
      <x:c r="AJ60" s="71"/>
      <x:c r="AK60" s="71"/>
      <x:c r="AL60" s="150"/>
      <x:c r="AM60" s="1029"/>
      <x:c r="AN60" s="1030"/>
      <x:c r="AO60" s="1030"/>
      <x:c r="AP60" s="1030"/>
      <x:c r="AQ60" s="1030"/>
      <x:c r="AR60" s="1031"/>
      <x:c r="AS60" s="286" t="s">
        <x:v>43</x:v>
      </x:c>
      <x:c r="AT60" s="286" t="s">
        <x:v>145</x:v>
      </x:c>
    </x:row>
    <x:row r="61" spans="1:47" s="12" customFormat="1" ht="19.25" customHeight="1">
      <x:c r="A61" s="1230" t="s">
        <x:v>78</x:v>
      </x:c>
      <x:c r="B61" s="256"/>
      <x:c r="C61" s="80"/>
      <x:c r="D61" s="226"/>
      <x:c r="E61" s="240"/>
      <x:c r="F61" s="49"/>
      <x:c r="G61" s="49"/>
      <x:c r="H61" s="49"/>
      <x:c r="I61" s="80"/>
      <x:c r="J61" s="80"/>
      <x:c r="K61" s="80"/>
      <x:c r="L61" s="311"/>
      <x:c r="M61" s="148"/>
      <x:c r="N61" s="80"/>
      <x:c r="O61" s="80"/>
      <x:c r="P61" s="311"/>
      <x:c r="Q61" s="80"/>
      <x:c r="R61" s="834"/>
      <x:c r="S61" s="387"/>
      <x:c r="T61" s="388"/>
      <x:c r="U61" s="388"/>
      <x:c r="V61" s="388"/>
      <x:c r="W61" s="389"/>
      <x:c r="X61" s="387"/>
      <x:c r="Y61" s="388"/>
      <x:c r="Z61" s="388"/>
      <x:c r="AA61" s="388"/>
      <x:c r="AB61" s="389"/>
      <x:c r="AC61" s="697"/>
      <x:c r="AD61" s="80"/>
      <x:c r="AE61" s="80"/>
      <x:c r="AF61" s="80"/>
      <x:c r="AG61" s="80"/>
      <x:c r="AH61" s="80"/>
      <x:c r="AI61" s="80"/>
      <x:c r="AJ61" s="80"/>
      <x:c r="AK61" s="80"/>
      <x:c r="AL61" s="152"/>
      <x:c r="AM61" s="1111"/>
      <x:c r="AN61" s="1112"/>
      <x:c r="AO61" s="1112"/>
      <x:c r="AP61" s="1112"/>
      <x:c r="AQ61" s="1112"/>
      <x:c r="AR61" s="1113"/>
      <x:c r="AS61" s="4"/>
      <x:c r="AU61" s="2"/>
    </x:row>
    <x:row r="62" spans="1:45">
      <x:c r="A62" s="54"/>
      <x:c r="B62" s="829"/>
      <x:c r="C62" s="772"/>
      <x:c r="D62" s="772"/>
      <x:c r="E62" s="772"/>
      <x:c r="F62" s="772"/>
      <x:c r="G62" s="772"/>
      <x:c r="H62" s="772"/>
      <x:c r="I62" s="772"/>
      <x:c r="J62" s="772"/>
      <x:c r="K62" s="772"/>
      <x:c r="L62" s="772"/>
      <x:c r="M62" s="772"/>
      <x:c r="N62" s="772"/>
      <x:c r="O62" s="772"/>
      <x:c r="P62" s="772"/>
      <x:c r="Q62" s="772"/>
      <x:c r="R62" s="772"/>
      <x:c r="S62" s="832"/>
      <x:c r="T62" s="830"/>
      <x:c r="U62" s="830"/>
      <x:c r="V62" s="830"/>
      <x:c r="W62" s="772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10"/>
    </x:row>
    <x:row r="63" spans="1:44">
      <x:c r="A63" s="1021" t="s">
        <x:v>189</x:v>
      </x:c>
      <x:c r="B63" s="1021">
        <x:f>COUNTA(B6:$B$60)</x:f>
        <x:v>31</x:v>
      </x:c>
      <x:c r="C63" s="43"/>
      <x:c r="D63" s="1021"/>
      <x:c r="E63" s="1021">
        <x:f>COUNTIF(E4:E60,"=y")</x:f>
        <x:v>0</x:v>
      </x:c>
      <x:c r="F63" s="1021">
        <x:f>COUNTIF(F4:F60,"=y")</x:f>
        <x:v>0</x:v>
      </x:c>
      <x:c r="G63" s="1021">
        <x:f>COUNTIF(G4:G60,"=y")</x:f>
        <x:v>0</x:v>
      </x:c>
      <x:c r="H63" s="1021">
        <x:f>COUNTIF(H4:H60,"=y")</x:f>
        <x:v>0</x:v>
      </x:c>
      <x:c r="I63" s="1020"/>
      <x:c r="J63" s="1020"/>
      <x:c r="K63" s="1020"/>
      <x:c r="L63" s="1020"/>
      <x:c r="M63" s="1020"/>
      <x:c r="N63" s="1020"/>
      <x:c r="O63" s="1020"/>
      <x:c r="P63" s="1020"/>
      <x:c r="Q63" s="1020"/>
      <x:c r="R63" s="1020"/>
      <x:c r="S63" s="1020"/>
      <x:c r="T63" s="1020"/>
      <x:c r="U63" s="1020"/>
      <x:c r="V63" s="1020"/>
      <x:c r="W63" s="1020"/>
      <x:c r="X63" s="1020"/>
      <x:c r="Y63" s="1020"/>
      <x:c r="Z63" s="1020"/>
      <x:c r="AA63" s="1020"/>
      <x:c r="AB63" s="1020"/>
      <x:c r="AC63" s="1020"/>
      <x:c r="AD63" s="1020"/>
      <x:c r="AE63" s="1020"/>
      <x:c r="AF63" s="1020"/>
      <x:c r="AG63" s="1020"/>
      <x:c r="AH63" s="1020"/>
      <x:c r="AI63" s="1020"/>
      <x:c r="AJ63" s="1020"/>
      <x:c r="AK63" s="1020"/>
      <x:c r="AL63" s="1020"/>
      <x:c r="AM63" s="54"/>
      <x:c r="AN63" s="54"/>
      <x:c r="AO63" s="54"/>
      <x:c r="AP63" s="54"/>
      <x:c r="AQ63" s="54"/>
      <x:c r="AR63" s="54"/>
    </x:row>
    <x:row r="64" spans="1:44">
      <x:c r="A64" s="1021"/>
      <x:c r="B64" s="1021"/>
      <x:c r="C64" s="43"/>
      <x:c r="D64" s="1021"/>
      <x:c r="E64" s="1021"/>
      <x:c r="F64" s="1021"/>
      <x:c r="G64" s="1021"/>
      <x:c r="H64" s="1021"/>
      <x:c r="I64" s="1020"/>
      <x:c r="J64" s="1020"/>
      <x:c r="K64" s="1020"/>
      <x:c r="L64" s="1020"/>
      <x:c r="M64" s="1020"/>
      <x:c r="N64" s="1020"/>
      <x:c r="O64" s="1020"/>
      <x:c r="P64" s="1020"/>
      <x:c r="Q64" s="1020"/>
      <x:c r="R64" s="1020"/>
      <x:c r="S64" s="1020"/>
      <x:c r="T64" s="1020"/>
      <x:c r="U64" s="1020"/>
      <x:c r="V64" s="1020"/>
      <x:c r="W64" s="1020"/>
      <x:c r="X64" s="1020"/>
      <x:c r="Y64" s="1020"/>
      <x:c r="Z64" s="1020"/>
      <x:c r="AA64" s="1020"/>
      <x:c r="AB64" s="1020"/>
      <x:c r="AC64" s="1020"/>
      <x:c r="AD64" s="1020"/>
      <x:c r="AE64" s="1020"/>
      <x:c r="AF64" s="1020"/>
      <x:c r="AG64" s="1020"/>
      <x:c r="AH64" s="1020"/>
      <x:c r="AI64" s="1020"/>
      <x:c r="AJ64" s="1020"/>
      <x:c r="AK64" s="1020"/>
      <x:c r="AL64" s="1020"/>
      <x:c r="AM64" s="54"/>
      <x:c r="AN64" s="54"/>
      <x:c r="AO64" s="54"/>
      <x:c r="AP64" s="54"/>
      <x:c r="AQ64" s="54"/>
      <x:c r="AR64" s="54"/>
    </x:row>
  </x:sheetData>
  <x:mergeCells count="105">
    <x:mergeCell ref="AL63:AL64"/>
    <x:mergeCell ref="AF63:AF64"/>
    <x:mergeCell ref="AG63:AG64"/>
    <x:mergeCell ref="AH63:AH64"/>
    <x:mergeCell ref="AI63:AI64"/>
    <x:mergeCell ref="AJ63:AJ64"/>
    <x:mergeCell ref="AK63:AK64"/>
    <x:mergeCell ref="Z63:Z64"/>
    <x:mergeCell ref="AA63:AA64"/>
    <x:mergeCell ref="AB63:AB64"/>
    <x:mergeCell ref="AC63:AC64"/>
    <x:mergeCell ref="AD63:AD64"/>
    <x:mergeCell ref="AE63:AE64"/>
    <x:mergeCell ref="T63:T64"/>
    <x:mergeCell ref="U63:U64"/>
    <x:mergeCell ref="V63:V64"/>
    <x:mergeCell ref="W63:W64"/>
    <x:mergeCell ref="X63:X64"/>
    <x:mergeCell ref="Y63:Y64"/>
    <x:mergeCell ref="N63:N64"/>
    <x:mergeCell ref="O63:O64"/>
    <x:mergeCell ref="P63:P64"/>
    <x:mergeCell ref="Q63:Q64"/>
    <x:mergeCell ref="R63:R64"/>
    <x:mergeCell ref="S63:S64"/>
    <x:mergeCell ref="H63:H64"/>
    <x:mergeCell ref="I63:I64"/>
    <x:mergeCell ref="J63:J64"/>
    <x:mergeCell ref="K63:K64"/>
    <x:mergeCell ref="L63:L64"/>
    <x:mergeCell ref="M63:M64"/>
    <x:mergeCell ref="A63:A64"/>
    <x:mergeCell ref="B63:B64"/>
    <x:mergeCell ref="D63:D64"/>
    <x:mergeCell ref="E63:E64"/>
    <x:mergeCell ref="F63:F64"/>
    <x:mergeCell ref="G63:G64"/>
    <x:mergeCell ref="AM55:AR55"/>
    <x:mergeCell ref="AM46:AR46"/>
    <x:mergeCell ref="AM47:AR47"/>
    <x:mergeCell ref="A38:A44"/>
    <x:mergeCell ref="AM38:AR38"/>
    <x:mergeCell ref="AM39:AR39"/>
    <x:mergeCell ref="AM40:AR40"/>
    <x:mergeCell ref="AM36:AR36"/>
    <x:mergeCell ref="A1:M1"/>
    <x:mergeCell ref="N1:Q1"/>
    <x:mergeCell ref="R1:V1"/>
    <x:mergeCell ref="W1:AA1"/>
    <x:mergeCell ref="AB1:AM1"/>
    <x:mergeCell ref="AN1:AR1"/>
    <x:mergeCell ref="AM15:AR15"/>
    <x:mergeCell ref="AM16:AR16"/>
    <x:mergeCell ref="AM17:AR17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M50:AR50"/>
    <x:mergeCell ref="AM48:AR48"/>
    <x:mergeCell ref="AM52:AR52"/>
    <x:mergeCell ref="A46:A52"/>
    <x:mergeCell ref="A23:AR28"/>
    <x:mergeCell ref="AM12:AR12"/>
    <x:mergeCell ref="AM49:AR49"/>
    <x:mergeCell ref="AM18:AR18"/>
    <x:mergeCell ref="AM44:AR44"/>
    <x:mergeCell ref="AM20:AR20"/>
    <x:mergeCell ref="AM10:AR10"/>
    <x:mergeCell ref="A6:A12"/>
    <x:mergeCell ref="A15:A21"/>
    <x:mergeCell ref="AM34:AR34"/>
    <x:mergeCell ref="AM35:AR35"/>
    <x:mergeCell ref="AM53:AR53"/>
    <x:mergeCell ref="AM30:AR30"/>
    <x:mergeCell ref="AM31:AR31"/>
    <x:mergeCell ref="AM33:AR33"/>
    <x:mergeCell ref="AM32:AR32"/>
    <x:mergeCell ref="A30:A35"/>
    <x:mergeCell ref="AM9:AR9"/>
    <x:mergeCell ref="AM56:AR56"/>
    <x:mergeCell ref="AM61:AR61"/>
    <x:mergeCell ref="AM43:AR43"/>
    <x:mergeCell ref="B5:AG5"/>
    <x:mergeCell ref="AM19:AR19"/>
    <x:mergeCell ref="AM6:AR6"/>
    <x:mergeCell ref="AM7:AR7"/>
    <x:mergeCell ref="AM8:AR8"/>
    <x:mergeCell ref="AM11:AR11"/>
    <x:mergeCell ref="AC30:AF30"/>
    <x:mergeCell ref="AM42:AR42"/>
    <x:mergeCell ref="AM41:AR41"/>
    <x:mergeCell ref="AM57:AR57"/>
    <x:mergeCell ref="AM58:AR58"/>
    <x:mergeCell ref="AM59:AR59"/>
    <x:mergeCell ref="AM60:AR60"/>
    <x:mergeCell ref="A55:A61"/>
  </x:mergeCells>
  <x:conditionalFormatting sqref="E9:E9">
    <x:cfRule type="containsText" dxfId="24" priority="121" stopIfTrue="1" operator="containsText" text="N">
      <x:formula>NOT(ISERROR(FIND(UPPER("N"),UPPER(E9))))</x:formula>
      <x:formula>"N"</x:formula>
    </x:cfRule>
  </x:conditionalFormatting>
  <x:conditionalFormatting sqref="E35:H36">
    <x:cfRule type="containsText" dxfId="22" priority="157" stopIfTrue="1" operator="containsText" text="N">
      <x:formula>NOT(ISERROR(FIND(UPPER("N"),UPPER(E35))))</x:formula>
      <x:formula>"N"</x:formula>
    </x:cfRule>
  </x:conditionalFormatting>
  <x:conditionalFormatting sqref="E38:F38 E39:H40 E44:H44">
    <x:cfRule type="containsText" dxfId="21" priority="115" stopIfTrue="1" operator="containsText" text="N">
      <x:formula>NOT(ISERROR(FIND(UPPER("N"),UPPER(E38))))</x:formula>
      <x:formula>"N"</x:formula>
    </x:cfRule>
  </x:conditionalFormatting>
  <x:conditionalFormatting sqref="E46:F46 E47:H47 E50:H50">
    <x:cfRule type="containsText" dxfId="20" priority="132" stopIfTrue="1" operator="containsText" text="N">
      <x:formula>NOT(ISERROR(FIND(UPPER("N"),UPPER(E46))))</x:formula>
      <x:formula>"N"</x:formula>
    </x:cfRule>
  </x:conditionalFormatting>
  <x:conditionalFormatting sqref="E55:H55">
    <x:cfRule type="containsText" dxfId="19" priority="150" stopIfTrue="1" operator="containsText" text="N">
      <x:formula>NOT(ISERROR(FIND(UPPER("N"),UPPER(E55))))</x:formula>
      <x:formula>"N"</x:formula>
    </x:cfRule>
  </x:conditionalFormatting>
  <x:conditionalFormatting sqref="I9:Q9">
    <x:cfRule type="containsText" dxfId="18" priority="43" stopIfTrue="1" operator="containsText" text="N">
      <x:formula>NOT(ISERROR(FIND(UPPER("N"),UPPER(I9))))</x:formula>
      <x:formula>"N"</x:formula>
    </x:cfRule>
  </x:conditionalFormatting>
  <x:conditionalFormatting sqref="E17:E18">
    <x:cfRule type="containsText" dxfId="23" priority="38" stopIfTrue="1" operator="containsText" text="N">
      <x:formula>NOT(ISERROR(FIND(UPPER("N"),UPPER(E17))))</x:formula>
      <x:formula>"N"</x:formula>
    </x:cfRule>
  </x:conditionalFormatting>
  <x:conditionalFormatting sqref="Q46:S47 I17:Q19 I21:Q21 I44:N44 E19:E19 E52:H52 M48:Q48 E48:H48 Q55:S55 I47:M47 U40:U40 S39:S40 Q38:S38 I39:M39 I40:Q40 I35:Q36 U17:U17 S16:S17 Q15:S15 I16:M16 Q16:Q16 P50:P50 Q39:Q39">
    <x:cfRule type="containsText" dxfId="12" priority="14" stopIfTrue="1" operator="containsText" text="N">
      <x:formula>NOT(ISERROR(FIND(UPPER("N"),UPPER(E15))))</x:formula>
      <x:formula>"N"</x:formula>
    </x:cfRule>
  </x:conditionalFormatting>
  <x:conditionalFormatting sqref="I20:Q20 E20:E20">
    <x:cfRule type="containsText" dxfId="12" priority="13" stopIfTrue="1" operator="containsText" text="N">
      <x:formula>NOT(ISERROR(FIND(UPPER("N"),UPPER(E20))))</x:formula>
      <x:formula>"N"</x:formula>
    </x:cfRule>
  </x:conditionalFormatting>
  <x:conditionalFormatting sqref="O44:Q44">
    <x:cfRule type="containsText" dxfId="12" priority="11" stopIfTrue="1" operator="containsText" text="N">
      <x:formula>NOT(ISERROR(FIND(UPPER("N"),UPPER(O44))))</x:formula>
      <x:formula>"N"</x:formula>
    </x:cfRule>
  </x:conditionalFormatting>
  <x:conditionalFormatting sqref="I10:Q10 E10:E10">
    <x:cfRule type="containsText" dxfId="12" priority="10" stopIfTrue="1" operator="containsText" text="N">
      <x:formula>NOT(ISERROR(FIND(UPPER("N"),UPPER(E10))))</x:formula>
      <x:formula>"N"</x:formula>
    </x:cfRule>
  </x:conditionalFormatting>
  <x:conditionalFormatting sqref="E34:Q34">
    <x:cfRule type="containsText" dxfId="12" priority="9" stopIfTrue="1" operator="containsText" text="N">
      <x:formula>NOT(ISERROR(FIND(UPPER("N"),UPPER(E34))))</x:formula>
      <x:formula>"N"</x:formula>
    </x:cfRule>
  </x:conditionalFormatting>
  <x:conditionalFormatting sqref="E53:Q53">
    <x:cfRule type="containsText" dxfId="12" priority="8" stopIfTrue="1" operator="containsText" text="N">
      <x:formula>NOT(ISERROR(FIND(UPPER("N"),UPPER(E53))))</x:formula>
      <x:formula>"N"</x:formula>
    </x:cfRule>
  </x:conditionalFormatting>
  <x:conditionalFormatting sqref="E32:Q33 U31:U31 S30:S31 I30:M30 I31:Q31 Q30:Q30 E30:H31">
    <x:cfRule type="containsText" dxfId="12" priority="7" stopIfTrue="1" operator="containsText" text="N">
      <x:formula>NOT(ISERROR(FIND(UPPER("N"),UPPER(E30))))</x:formula>
      <x:formula>"N"</x:formula>
    </x:cfRule>
  </x:conditionalFormatting>
  <x:conditionalFormatting sqref="U56:U56 S56:S56 E56:Q56">
    <x:cfRule type="containsText" dxfId="12" priority="6" stopIfTrue="1" operator="containsText" text="N">
      <x:formula>NOT(ISERROR(FIND(UPPER("N"),UPPER(E56))))</x:formula>
      <x:formula>"N"</x:formula>
    </x:cfRule>
  </x:conditionalFormatting>
  <x:conditionalFormatting sqref="E43:Q43">
    <x:cfRule type="containsText" dxfId="12" priority="5" stopIfTrue="1" operator="containsText" text="N">
      <x:formula>NOT(ISERROR(FIND(UPPER("N"),UPPER(E43))))</x:formula>
      <x:formula>"N"</x:formula>
    </x:cfRule>
  </x:conditionalFormatting>
  <x:conditionalFormatting sqref="I6:M6 I7:Q7 U7:U7 S6:S7 Q6:Q6 E7:E7">
    <x:cfRule type="containsText" dxfId="12" priority="4" stopIfTrue="1" operator="containsText" text="N">
      <x:formula>NOT(ISERROR(FIND(UPPER("N"),UPPER(E6))))</x:formula>
      <x:formula>"N"</x:formula>
    </x:cfRule>
  </x:conditionalFormatting>
  <x:conditionalFormatting sqref="I8:Q8 E8:E8">
    <x:cfRule type="containsText" dxfId="12" priority="3" stopIfTrue="1" operator="containsText" text="N">
      <x:formula>NOT(ISERROR(FIND(UPPER("N"),UPPER(E8))))</x:formula>
      <x:formula>"N"</x:formula>
    </x:cfRule>
  </x:conditionalFormatting>
  <x:conditionalFormatting sqref="O41:O42 Q41:Q41 P42:Q42 I42:N42 E41:H42">
    <x:cfRule type="containsText" dxfId="12" priority="2" stopIfTrue="1" operator="containsText" text="N">
      <x:formula>NOT(ISERROR(FIND(UPPER("N"),UPPER(E41))))</x:formula>
      <x:formula>"N"</x:formula>
    </x:cfRule>
  </x:conditionalFormatting>
  <x:conditionalFormatting sqref="U57:U57 S57:S57 E57:Q60">
    <x:cfRule type="containsText" dxfId="12" priority="1" stopIfTrue="1" operator="containsText" text="N">
      <x:formula>NOT(ISERROR(FIND(UPPER("N"),UPPER(E57))))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AV62"/>
  <x:sheetViews>
    <x:sheetView topLeftCell="A1" zoomScale="80" zoomScaleNormal="80" zoomScaleSheetLayoutView="75" workbookViewId="0">
      <x:pane xSplit="0" ySplit="4" topLeftCell="A23" activePane="bottomLeft" state="frozen"/>
      <x:selection pane="bottomLeft" activeCell="X49" activeCellId="0" sqref="X49:X49"/>
    </x:sheetView>
  </x:sheetViews>
  <x:sheetFormatPr defaultColWidth="8.75" defaultRowHeight="16.399999999999999"/>
  <x:cols>
    <x:col min="1" max="1" width="6.75" style="41" bestFit="1" customWidth="1"/>
    <x:col min="2" max="2" width="8.375" style="369" customWidth="1"/>
    <x:col min="3" max="3" width="5.5" style="41" customWidth="1"/>
    <x:col min="4" max="4" width="5.75" style="41" customWidth="1"/>
    <x:col min="5" max="5" width="5.25" style="41" hidden="1" customWidth="1"/>
    <x:col min="6" max="8" width="5.375" style="41" hidden="1" customWidth="1"/>
    <x:col min="9" max="23" width="7.125" style="41" hidden="1" customWidth="1"/>
    <x:col min="24" max="38" width="7.125" style="41" customWidth="1"/>
    <x:col min="39" max="42" width="5.625" style="456" customWidth="1"/>
    <x:col min="43" max="43" width="8.75" style="457"/>
    <x:col min="44" max="44" width="10.5" style="456" customWidth="1"/>
    <x:col min="45" max="46" width="11.625" style="452" customWidth="1"/>
    <x:col min="47" max="16384" width="8.75" style="452"/>
  </x:cols>
  <x:sheetData>
    <x:row r="1" spans="1:44" ht="25.5" customHeight="1">
      <x:c r="A1" s="1046" t="s">
        <x:v>125</x:v>
      </x:c>
      <x:c r="B1" s="1047"/>
      <x:c r="C1" s="1047"/>
      <x:c r="D1" s="1047"/>
      <x:c r="E1" s="1047"/>
      <x:c r="F1" s="1047"/>
      <x:c r="G1" s="1047"/>
      <x:c r="H1" s="1047"/>
      <x:c r="I1" s="1047"/>
      <x:c r="J1" s="1047"/>
      <x:c r="K1" s="1047"/>
      <x:c r="L1" s="1047"/>
      <x:c r="M1" s="1047"/>
      <x:c r="N1" s="1048" t="s">
        <x:v>17</x:v>
      </x:c>
      <x:c r="O1" s="1049"/>
      <x:c r="P1" s="1049"/>
      <x:c r="Q1" s="1049"/>
      <x:c r="R1" s="1050" t="s">
        <x:v>9</x:v>
      </x:c>
      <x:c r="S1" s="1050"/>
      <x:c r="T1" s="1050"/>
      <x:c r="U1" s="1050"/>
      <x:c r="V1" s="1050"/>
      <x:c r="W1" s="1051" t="s">
        <x:v>416</x:v>
      </x:c>
      <x:c r="X1" s="1051"/>
      <x:c r="Y1" s="1051"/>
      <x:c r="Z1" s="1051"/>
      <x:c r="AA1" s="1051"/>
      <x:c r="AB1" s="1052" t="s">
        <x:v>0</x:v>
      </x:c>
      <x:c r="AC1" s="1052"/>
      <x:c r="AD1" s="1052"/>
      <x:c r="AE1" s="1052"/>
      <x:c r="AF1" s="1052"/>
      <x:c r="AG1" s="1052"/>
      <x:c r="AH1" s="1052"/>
      <x:c r="AI1" s="1052"/>
      <x:c r="AJ1" s="1052"/>
      <x:c r="AK1" s="1052"/>
      <x:c r="AL1" s="1052"/>
      <x:c r="AM1" s="1052"/>
      <x:c r="AN1" s="1284" t="s">
        <x:v>34</x:v>
      </x:c>
      <x:c r="AO1" s="1284"/>
      <x:c r="AP1" s="1284"/>
      <x:c r="AQ1" s="1284"/>
      <x:c r="AR1" s="1284"/>
    </x:row>
    <x:row r="2" spans="1:44" s="41" customFormat="1">
      <x:c r="A2" s="1078" t="s">
        <x:v>300</x:v>
      </x:c>
      <x:c r="B2" s="1078" t="s">
        <x:v>384</x:v>
      </x:c>
      <x:c r="C2" s="1060" t="s">
        <x:v>278</x:v>
      </x:c>
      <x:c r="D2" s="1062" t="s">
        <x:v>398</x:v>
      </x:c>
      <x:c r="E2" s="453" t="s">
        <x:v>28</x:v>
      </x:c>
      <x:c r="F2" s="453"/>
      <x:c r="G2" s="453"/>
      <x:c r="H2" s="453"/>
      <x:c r="I2" s="1065" t="s">
        <x:v>33</x:v>
      </x:c>
      <x:c r="J2" s="1065"/>
      <x:c r="K2" s="1065"/>
      <x:c r="L2" s="1065"/>
      <x:c r="M2" s="1065"/>
      <x:c r="N2" s="1065"/>
      <x:c r="O2" s="1065"/>
      <x:c r="P2" s="1065"/>
      <x:c r="Q2" s="1065"/>
      <x:c r="R2" s="1065"/>
      <x:c r="S2" s="1065"/>
      <x:c r="T2" s="1065"/>
      <x:c r="U2" s="1065"/>
      <x:c r="V2" s="1065"/>
      <x:c r="W2" s="1065"/>
      <x:c r="X2" s="1065"/>
      <x:c r="Y2" s="1065"/>
      <x:c r="Z2" s="1065"/>
      <x:c r="AA2" s="1065"/>
      <x:c r="AB2" s="1065"/>
      <x:c r="AC2" s="1065"/>
      <x:c r="AD2" s="1065"/>
      <x:c r="AE2" s="1065"/>
      <x:c r="AF2" s="1065"/>
      <x:c r="AG2" s="1065"/>
      <x:c r="AH2" s="1065"/>
      <x:c r="AI2" s="1065"/>
      <x:c r="AJ2" s="1065"/>
      <x:c r="AK2" s="1065"/>
      <x:c r="AL2" s="1065"/>
      <x:c r="AM2" s="1285" t="s">
        <x:v>82</x:v>
      </x:c>
      <x:c r="AN2" s="1286"/>
      <x:c r="AO2" s="1286"/>
      <x:c r="AP2" s="1286"/>
      <x:c r="AQ2" s="1286"/>
      <x:c r="AR2" s="1287"/>
    </x:row>
    <x:row r="3" spans="1:44" s="41" customFormat="1">
      <x:c r="A3" s="1079"/>
      <x:c r="B3" s="1079"/>
      <x:c r="C3" s="1061"/>
      <x:c r="D3" s="1063"/>
      <x:c r="E3" s="454"/>
      <x:c r="F3" s="454"/>
      <x:c r="G3" s="454"/>
      <x:c r="H3" s="454"/>
      <x:c r="I3" s="1075" t="s">
        <x:v>335</x:v>
      </x:c>
      <x:c r="J3" s="1060"/>
      <x:c r="K3" s="1060"/>
      <x:c r="L3" s="1060"/>
      <x:c r="M3" s="1076"/>
      <x:c r="N3" s="1075" t="s">
        <x:v>256</x:v>
      </x:c>
      <x:c r="O3" s="1060"/>
      <x:c r="P3" s="1060"/>
      <x:c r="Q3" s="1060"/>
      <x:c r="R3" s="1076"/>
      <x:c r="S3" s="1075" t="s">
        <x:v>289</x:v>
      </x:c>
      <x:c r="T3" s="1060"/>
      <x:c r="U3" s="1060"/>
      <x:c r="V3" s="1060"/>
      <x:c r="W3" s="1076"/>
      <x:c r="X3" s="1075" t="s">
        <x:v>322</x:v>
      </x:c>
      <x:c r="Y3" s="1060"/>
      <x:c r="Z3" s="1060"/>
      <x:c r="AA3" s="1060"/>
      <x:c r="AB3" s="1076"/>
      <x:c r="AC3" s="1075" t="s">
        <x:v>262</x:v>
      </x:c>
      <x:c r="AD3" s="1060"/>
      <x:c r="AE3" s="1060"/>
      <x:c r="AF3" s="1060"/>
      <x:c r="AG3" s="1076"/>
      <x:c r="AH3" s="1075" t="s">
        <x:v>286</x:v>
      </x:c>
      <x:c r="AI3" s="1060"/>
      <x:c r="AJ3" s="1060"/>
      <x:c r="AK3" s="1060"/>
      <x:c r="AL3" s="1077"/>
      <x:c r="AM3" s="1288"/>
      <x:c r="AN3" s="1289"/>
      <x:c r="AO3" s="1289"/>
      <x:c r="AP3" s="1289"/>
      <x:c r="AQ3" s="1289"/>
      <x:c r="AR3" s="1290"/>
    </x:row>
    <x:row r="4" spans="1:44" s="369" customFormat="1" ht="16.5" customHeight="1">
      <x:c r="A4" s="1080"/>
      <x:c r="B4" s="1079"/>
      <x:c r="C4" s="1061"/>
      <x:c r="D4" s="1064"/>
      <x:c r="E4" s="130">
        <x:v>43378</x:v>
      </x:c>
      <x:c r="F4" s="79">
        <x:f>E4+7</x:f>
        <x:v>43385</x:v>
      </x:c>
      <x:c r="G4" s="79">
        <x:f>F4+7</x:f>
        <x:v>43392</x:v>
      </x:c>
      <x:c r="H4" s="131">
        <x:f>G4+7</x:f>
        <x:v>43399</x:v>
      </x:c>
      <x:c r="I4" s="97" t="s">
        <x:v>338</x:v>
      </x:c>
      <x:c r="J4" s="96" t="s">
        <x:v>297</x:v>
      </x:c>
      <x:c r="K4" s="96" t="s">
        <x:v>285</x:v>
      </x:c>
      <x:c r="L4" s="98" t="s">
        <x:v>274</x:v>
      </x:c>
      <x:c r="M4" s="95"/>
      <x:c r="N4" s="97" t="s">
        <x:v>268</x:v>
      </x:c>
      <x:c r="O4" s="96" t="s">
        <x:v>248</x:v>
      </x:c>
      <x:c r="P4" s="96" t="s">
        <x:v>244</x:v>
      </x:c>
      <x:c r="Q4" s="96" t="s">
        <x:v>291</x:v>
      </x:c>
      <x:c r="R4" s="95" t="s">
        <x:v>325</x:v>
      </x:c>
      <x:c r="S4" s="97" t="s">
        <x:v>251</x:v>
      </x:c>
      <x:c r="T4" s="96" t="s">
        <x:v>293</x:v>
      </x:c>
      <x:c r="U4" s="96" t="s">
        <x:v>269</x:v>
      </x:c>
      <x:c r="V4" s="96" t="s">
        <x:v>245</x:v>
      </x:c>
      <x:c r="W4" s="95"/>
      <x:c r="X4" s="97" t="s">
        <x:v>247</x:v>
      </x:c>
      <x:c r="Y4" s="96" t="s">
        <x:v>307</x:v>
      </x:c>
      <x:c r="Z4" s="96" t="s">
        <x:v>333</x:v>
      </x:c>
      <x:c r="AA4" s="96" t="s">
        <x:v>329</x:v>
      </x:c>
      <x:c r="AB4" s="95"/>
      <x:c r="AC4" s="97" t="s">
        <x:v>317</x:v>
      </x:c>
      <x:c r="AD4" s="96" t="s">
        <x:v>332</x:v>
      </x:c>
      <x:c r="AE4" s="96" t="s">
        <x:v>299</x:v>
      </x:c>
      <x:c r="AF4" s="96" t="s">
        <x:v>296</x:v>
      </x:c>
      <x:c r="AG4" s="95" t="s">
        <x:v>283</x:v>
      </x:c>
      <x:c r="AH4" s="97" t="s">
        <x:v>251</x:v>
      </x:c>
      <x:c r="AI4" s="96" t="s">
        <x:v>293</x:v>
      </x:c>
      <x:c r="AJ4" s="96" t="s">
        <x:v>269</x:v>
      </x:c>
      <x:c r="AK4" s="96" t="s">
        <x:v>245</x:v>
      </x:c>
      <x:c r="AL4" s="98"/>
      <x:c r="AM4" s="1291"/>
      <x:c r="AN4" s="1292"/>
      <x:c r="AO4" s="1292"/>
      <x:c r="AP4" s="1292"/>
      <x:c r="AQ4" s="1292"/>
      <x:c r="AR4" s="1293"/>
    </x:row>
    <x:row r="5" spans="1:44">
      <x:c r="A5" s="74" t="s">
        <x:v>261</x:v>
      </x:c>
      <x:c r="B5" s="94"/>
      <x:c r="C5" s="74"/>
      <x:c r="D5" s="74"/>
      <x:c r="E5" s="74"/>
      <x:c r="F5" s="74"/>
      <x:c r="G5" s="74"/>
      <x:c r="H5" s="74"/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  <x:c r="V5" s="105"/>
      <x:c r="W5" s="105"/>
      <x:c r="X5" s="105"/>
      <x:c r="Y5" s="105"/>
      <x:c r="Z5" s="105"/>
      <x:c r="AA5" s="105"/>
      <x:c r="AB5" s="105"/>
      <x:c r="AC5" s="105"/>
      <x:c r="AD5" s="105"/>
      <x:c r="AE5" s="105"/>
      <x:c r="AF5" s="105"/>
      <x:c r="AG5" s="105"/>
      <x:c r="AH5" s="105"/>
      <x:c r="AI5" s="105"/>
      <x:c r="AJ5" s="105"/>
      <x:c r="AK5" s="105"/>
      <x:c r="AL5" s="105"/>
      <x:c r="AM5" s="113"/>
      <x:c r="AN5" s="113"/>
      <x:c r="AO5" s="113"/>
      <x:c r="AP5" s="113"/>
      <x:c r="AQ5" s="113"/>
      <x:c r="AR5" s="113"/>
    </x:row>
    <x:row r="6" spans="1:46" ht="16.5" customHeight="1">
      <x:c r="A6" s="1321" t="s">
        <x:v>97</x:v>
      </x:c>
      <x:c r="B6" s="290" t="s">
        <x:v>181</x:v>
      </x:c>
      <x:c r="C6" s="63" t="s">
        <x:v>184</x:v>
      </x:c>
      <x:c r="D6" s="204" t="s">
        <x:v>378</x:v>
      </x:c>
      <x:c r="E6" s="688"/>
      <x:c r="F6" s="46"/>
      <x:c r="G6" s="46"/>
      <x:c r="H6" s="689"/>
      <x:c r="I6" s="274"/>
      <x:c r="J6" s="307"/>
      <x:c r="K6" s="307"/>
      <x:c r="L6" s="307"/>
      <x:c r="M6" s="304"/>
      <x:c r="N6" s="274"/>
      <x:c r="O6" s="307"/>
      <x:c r="P6" s="307"/>
      <x:c r="Q6" s="593"/>
      <x:c r="R6" s="658" t="s">
        <x:v>181</x:v>
      </x:c>
      <x:c r="S6" s="665"/>
      <x:c r="T6" s="313" t="s">
        <x:v>59</x:v>
      </x:c>
      <x:c r="U6" s="593"/>
      <x:c r="V6" s="593"/>
      <x:c r="W6" s="138"/>
      <x:c r="X6" s="141"/>
      <x:c r="Y6" s="593"/>
      <x:c r="Z6" s="593"/>
      <x:c r="AA6" s="145" t="s">
        <x:v>150</x:v>
      </x:c>
      <x:c r="AB6" s="138"/>
      <x:c r="AC6" s="665"/>
      <x:c r="AD6" s="57"/>
      <x:c r="AE6" s="57"/>
      <x:c r="AF6" s="57"/>
      <x:c r="AG6" s="121" t="s">
        <x:v>77</x:v>
      </x:c>
      <x:c r="AH6" s="651"/>
      <x:c r="AI6" s="57"/>
      <x:c r="AJ6" s="57"/>
      <x:c r="AK6" s="57"/>
      <x:c r="AL6" s="149"/>
      <x:c r="AM6" s="1026" t="s">
        <x:v>412</x:v>
      </x:c>
      <x:c r="AN6" s="1027"/>
      <x:c r="AO6" s="1027"/>
      <x:c r="AP6" s="1027"/>
      <x:c r="AQ6" s="1027"/>
      <x:c r="AR6" s="1028"/>
      <x:c r="AS6" s="286" t="s">
        <x:v>43</x:v>
      </x:c>
      <x:c r="AT6" s="286" t="s">
        <x:v>145</x:v>
      </x:c>
    </x:row>
    <x:row r="7" spans="1:46" ht="17.25" customHeight="1">
      <x:c r="A7" s="1322"/>
      <x:c r="B7" s="72" t="s">
        <x:v>389</x:v>
      </x:c>
      <x:c r="C7" s="71" t="s">
        <x:v>312</x:v>
      </x:c>
      <x:c r="D7" s="166" t="s">
        <x:v>378</x:v>
      </x:c>
      <x:c r="E7" s="690"/>
      <x:c r="F7" s="44"/>
      <x:c r="G7" s="44"/>
      <x:c r="H7" s="691"/>
      <x:c r="I7" s="288" t="s">
        <x:v>211</x:v>
      </x:c>
      <x:c r="J7" s="154" t="s">
        <x:v>92</x:v>
      </x:c>
      <x:c r="K7" s="154"/>
      <x:c r="L7" s="306"/>
      <x:c r="M7" s="135"/>
      <x:c r="N7" s="275" t="s">
        <x:v>132</x:v>
      </x:c>
      <x:c r="O7" s="306"/>
      <x:c r="P7" s="306"/>
      <x:c r="Q7" s="306" t="s">
        <x:v>238</x:v>
      </x:c>
      <x:c r="R7" s="139"/>
      <x:c r="S7" s="292"/>
      <x:c r="T7" s="302"/>
      <x:c r="U7" s="302"/>
      <x:c r="V7" s="302"/>
      <x:c r="W7" s="139"/>
      <x:c r="X7" s="142"/>
      <x:c r="Y7" s="302"/>
      <x:c r="Z7" s="302"/>
      <x:c r="AA7" s="302"/>
      <x:c r="AB7" s="139"/>
      <x:c r="AC7" s="292"/>
      <x:c r="AD7" s="71"/>
      <x:c r="AE7" s="71"/>
      <x:c r="AF7" s="71"/>
      <x:c r="AG7" s="122" t="s">
        <x:v>152</x:v>
      </x:c>
      <x:c r="AH7" s="614"/>
      <x:c r="AI7" s="77"/>
      <x:c r="AJ7" s="77"/>
      <x:c r="AK7" s="77"/>
      <x:c r="AL7" s="151"/>
      <x:c r="AM7" s="1099"/>
      <x:c r="AN7" s="1100"/>
      <x:c r="AO7" s="1100"/>
      <x:c r="AP7" s="1100"/>
      <x:c r="AQ7" s="1100"/>
      <x:c r="AR7" s="1101"/>
      <x:c r="AS7" s="286" t="s">
        <x:v>43</x:v>
      </x:c>
      <x:c r="AT7" s="286" t="s">
        <x:v>145</x:v>
      </x:c>
    </x:row>
    <x:row r="8" spans="1:46" ht="17.449999999999999" customHeight="1">
      <x:c r="A8" s="1322"/>
      <x:c r="B8" s="173" t="s">
        <x:v>396</x:v>
      </x:c>
      <x:c r="C8" s="385" t="s">
        <x:v>237</x:v>
      </x:c>
      <x:c r="D8" s="826" t="s">
        <x:v>375</x:v>
      </x:c>
      <x:c r="E8" s="692"/>
      <x:c r="F8" s="687"/>
      <x:c r="G8" s="687"/>
      <x:c r="H8" s="693"/>
      <x:c r="I8" s="686"/>
      <x:c r="J8" s="385"/>
      <x:c r="K8" s="385"/>
      <x:c r="L8" s="185"/>
      <x:c r="M8" s="696"/>
      <x:c r="N8" s="695"/>
      <x:c r="O8" s="414"/>
      <x:c r="P8" s="146"/>
      <x:c r="Q8" s="302" t="s">
        <x:v>323</x:v>
      </x:c>
      <x:c r="R8" s="139"/>
      <x:c r="S8" s="292"/>
      <x:c r="T8" s="302"/>
      <x:c r="U8" s="302"/>
      <x:c r="V8" s="302"/>
      <x:c r="W8" s="139"/>
      <x:c r="X8" s="142"/>
      <x:c r="Y8" s="302"/>
      <x:c r="Z8" s="302"/>
      <x:c r="AA8" s="302"/>
      <x:c r="AB8" s="139"/>
      <x:c r="AC8" s="292"/>
      <x:c r="AD8" s="71"/>
      <x:c r="AE8" s="71"/>
      <x:c r="AF8" s="71"/>
      <x:c r="AG8" s="122" t="s">
        <x:v>52</x:v>
      </x:c>
      <x:c r="AH8" s="827"/>
      <x:c r="AI8" s="429"/>
      <x:c r="AJ8" s="429"/>
      <x:c r="AK8" s="429"/>
      <x:c r="AL8" s="430"/>
      <x:c r="AM8" s="1029"/>
      <x:c r="AN8" s="1030"/>
      <x:c r="AO8" s="1030"/>
      <x:c r="AP8" s="1030"/>
      <x:c r="AQ8" s="1030"/>
      <x:c r="AR8" s="1031"/>
      <x:c r="AS8" s="286" t="s">
        <x:v>43</x:v>
      </x:c>
      <x:c r="AT8" s="286" t="s">
        <x:v>145</x:v>
      </x:c>
    </x:row>
    <x:row r="9" spans="1:46" ht="17.449999999999999" customHeight="1">
      <x:c r="A9" s="1322"/>
      <x:c r="B9" s="173" t="s">
        <x:v>255</x:v>
      </x:c>
      <x:c r="C9" s="385" t="s">
        <x:v>312</x:v>
      </x:c>
      <x:c r="D9" s="887" t="s">
        <x:v>375</x:v>
      </x:c>
      <x:c r="E9" s="692"/>
      <x:c r="F9" s="687"/>
      <x:c r="G9" s="687"/>
      <x:c r="H9" s="693"/>
      <x:c r="I9" s="292"/>
      <x:c r="J9" s="302"/>
      <x:c r="K9" s="302"/>
      <x:c r="L9" s="334" t="s">
        <x:v>88</x:v>
      </x:c>
      <x:c r="M9" s="1338" t="s">
        <x:v>11</x:v>
      </x:c>
      <x:c r="N9" s="1338"/>
      <x:c r="O9" s="1338"/>
      <x:c r="P9" s="146"/>
      <x:c r="Q9" s="146"/>
      <x:c r="R9" s="139"/>
      <x:c r="S9" s="292"/>
      <x:c r="T9" s="302"/>
      <x:c r="U9" s="302"/>
      <x:c r="V9" s="590"/>
      <x:c r="W9" s="139"/>
      <x:c r="X9" s="142"/>
      <x:c r="Y9" s="146"/>
      <x:c r="Z9" s="302"/>
      <x:c r="AA9" s="302"/>
      <x:c r="AB9" s="139"/>
      <x:c r="AC9" s="292"/>
      <x:c r="AD9" s="71"/>
      <x:c r="AE9" s="71"/>
      <x:c r="AF9" s="71"/>
      <x:c r="AG9" s="122" t="s">
        <x:v>77</x:v>
      </x:c>
      <x:c r="AH9" s="827"/>
      <x:c r="AI9" s="429"/>
      <x:c r="AJ9" s="429"/>
      <x:c r="AK9" s="429"/>
      <x:c r="AL9" s="430"/>
      <x:c r="AM9" s="1029"/>
      <x:c r="AN9" s="1030"/>
      <x:c r="AO9" s="1030"/>
      <x:c r="AP9" s="1030"/>
      <x:c r="AQ9" s="1030"/>
      <x:c r="AR9" s="1031"/>
      <x:c r="AS9" s="286" t="s">
        <x:v>43</x:v>
      </x:c>
      <x:c r="AT9" s="286" t="s">
        <x:v>145</x:v>
      </x:c>
    </x:row>
    <x:row r="10" spans="1:48" ht="17.449999999999999" customHeight="1">
      <x:c r="A10" s="1322"/>
      <x:c r="B10" s="173"/>
      <x:c r="C10" s="385"/>
      <x:c r="D10" s="887"/>
      <x:c r="E10" s="692"/>
      <x:c r="F10" s="687"/>
      <x:c r="G10" s="687"/>
      <x:c r="H10" s="693"/>
      <x:c r="I10" s="686"/>
      <x:c r="J10" s="385"/>
      <x:c r="K10" s="385"/>
      <x:c r="L10" s="185"/>
      <x:c r="M10" s="1314"/>
      <x:c r="N10" s="1314"/>
      <x:c r="O10" s="1314"/>
      <x:c r="P10" s="385"/>
      <x:c r="Q10" s="385"/>
      <x:c r="R10" s="678"/>
      <x:c r="S10" s="686"/>
      <x:c r="T10" s="385"/>
      <x:c r="U10" s="385"/>
      <x:c r="V10" s="865"/>
      <x:c r="W10" s="678"/>
      <x:c r="X10" s="686"/>
      <x:c r="Y10" s="385"/>
      <x:c r="Z10" s="385"/>
      <x:c r="AA10" s="385"/>
      <x:c r="AB10" s="678"/>
      <x:c r="AC10" s="686"/>
      <x:c r="AD10" s="385" t="s">
        <x:v>347</x:v>
      </x:c>
      <x:c r="AE10" s="385"/>
      <x:c r="AF10" s="385"/>
      <x:c r="AG10" s="678"/>
      <x:c r="AH10" s="979"/>
      <x:c r="AI10" s="980"/>
      <x:c r="AJ10" s="980"/>
      <x:c r="AK10" s="980"/>
      <x:c r="AL10" s="981"/>
      <x:c r="AM10" s="1153"/>
      <x:c r="AN10" s="1154"/>
      <x:c r="AO10" s="1154"/>
      <x:c r="AP10" s="1154"/>
      <x:c r="AQ10" s="1154"/>
      <x:c r="AR10" s="1155"/>
      <x:c r="AS10" s="801"/>
      <x:c r="AT10" s="801"/>
      <x:c r="AU10" s="801"/>
      <x:c r="AV10" s="801"/>
    </x:row>
    <x:row r="11" spans="1:44" ht="16.75" customHeight="1">
      <x:c r="A11" s="1322"/>
      <x:c r="B11" s="320"/>
      <x:c r="C11" s="383"/>
      <x:c r="D11" s="905"/>
      <x:c r="E11" s="906"/>
      <x:c r="F11" s="716"/>
      <x:c r="G11" s="716"/>
      <x:c r="H11" s="907"/>
      <x:c r="I11" s="382"/>
      <x:c r="J11" s="383"/>
      <x:c r="K11" s="383"/>
      <x:c r="L11" s="343"/>
      <x:c r="M11" s="908"/>
      <x:c r="N11" s="342"/>
      <x:c r="O11" s="343"/>
      <x:c r="P11" s="383"/>
      <x:c r="Q11" s="357" t="s">
        <x:v>292</x:v>
      </x:c>
      <x:c r="R11" s="140"/>
      <x:c r="S11" s="382"/>
      <x:c r="T11" s="383"/>
      <x:c r="U11" s="383"/>
      <x:c r="V11" s="982"/>
      <x:c r="W11" s="384"/>
      <x:c r="X11" s="382"/>
      <x:c r="Y11" s="383"/>
      <x:c r="Z11" s="383"/>
      <x:c r="AA11" s="383"/>
      <x:c r="AB11" s="384"/>
      <x:c r="AC11" s="382"/>
      <x:c r="AD11" s="383"/>
      <x:c r="AE11" s="383"/>
      <x:c r="AF11" s="383"/>
      <x:c r="AG11" s="384"/>
      <x:c r="AH11" s="909"/>
      <x:c r="AI11" s="744"/>
      <x:c r="AJ11" s="744"/>
      <x:c r="AK11" s="744"/>
      <x:c r="AL11" s="910"/>
      <x:c r="AM11" s="1281"/>
      <x:c r="AN11" s="1282"/>
      <x:c r="AO11" s="1282"/>
      <x:c r="AP11" s="1282"/>
      <x:c r="AQ11" s="1282"/>
      <x:c r="AR11" s="1283"/>
    </x:row>
    <x:row r="12" spans="1:44" s="452" customFormat="1" ht="16.75" customHeight="1">
      <x:c r="A12" s="1327" t="s">
        <x:v>311</x:v>
      </x:c>
      <x:c r="B12" s="918" t="s">
        <x:v>208</x:v>
      </x:c>
      <x:c r="C12" s="918" t="s">
        <x:v>312</x:v>
      </x:c>
      <x:c r="D12" s="924" t="s">
        <x:v>378</x:v>
      </x:c>
      <x:c r="E12" s="925"/>
      <x:c r="F12" s="912"/>
      <x:c r="G12" s="912"/>
      <x:c r="H12" s="912"/>
      <x:c r="I12" s="911"/>
      <x:c r="J12" s="911"/>
      <x:c r="K12" s="911"/>
      <x:c r="L12" s="911"/>
      <x:c r="M12" s="911"/>
      <x:c r="N12" s="911"/>
      <x:c r="O12" s="911"/>
      <x:c r="P12" s="911"/>
      <x:c r="Q12" s="911"/>
      <x:c r="R12" s="915"/>
      <x:c r="S12" s="917"/>
      <x:c r="T12" s="918"/>
      <x:c r="U12" s="918"/>
      <x:c r="V12" s="918"/>
      <x:c r="W12" s="919"/>
      <x:c r="X12" s="917"/>
      <x:c r="Y12" s="918"/>
      <x:c r="Z12" s="918"/>
      <x:c r="AA12" s="918"/>
      <x:c r="AB12" s="919"/>
      <x:c r="AC12" s="962"/>
      <x:c r="AD12" s="918"/>
      <x:c r="AE12" s="918"/>
      <x:c r="AF12" s="918"/>
      <x:c r="AG12" s="919"/>
      <x:c r="AH12" s="920"/>
      <x:c r="AI12" s="911"/>
      <x:c r="AJ12" s="911"/>
      <x:c r="AK12" s="911"/>
      <x:c r="AL12" s="915"/>
      <x:c r="AM12" s="1324" t="s">
        <x:v>36</x:v>
      </x:c>
      <x:c r="AN12" s="1325"/>
      <x:c r="AO12" s="1325"/>
      <x:c r="AP12" s="1325"/>
      <x:c r="AQ12" s="1325"/>
      <x:c r="AR12" s="1326"/>
    </x:row>
    <x:row r="13" spans="1:44" s="452" customFormat="1" ht="16.75" customHeight="1">
      <x:c r="A13" s="1328"/>
      <x:c r="B13" s="708" t="s">
        <x:v>162</x:v>
      </x:c>
      <x:c r="C13" s="708" t="s">
        <x:v>312</x:v>
      </x:c>
      <x:c r="D13" s="926" t="s">
        <x:v>378</x:v>
      </x:c>
      <x:c r="E13" s="927"/>
      <x:c r="F13" s="914"/>
      <x:c r="G13" s="914"/>
      <x:c r="H13" s="914"/>
      <x:c r="I13" s="913"/>
      <x:c r="J13" s="913"/>
      <x:c r="K13" s="913"/>
      <x:c r="L13" s="913"/>
      <x:c r="M13" s="913"/>
      <x:c r="N13" s="913"/>
      <x:c r="O13" s="913"/>
      <x:c r="P13" s="913"/>
      <x:c r="Q13" s="913"/>
      <x:c r="R13" s="916"/>
      <x:c r="S13" s="921"/>
      <x:c r="T13" s="708"/>
      <x:c r="U13" s="708"/>
      <x:c r="V13" s="708"/>
      <x:c r="W13" s="922"/>
      <x:c r="X13" s="921"/>
      <x:c r="Y13" s="708"/>
      <x:c r="Z13" s="708"/>
      <x:c r="AA13" s="708"/>
      <x:c r="AB13" s="922"/>
      <x:c r="AC13" s="963"/>
      <x:c r="AD13" s="708"/>
      <x:c r="AE13" s="708"/>
      <x:c r="AF13" s="708"/>
      <x:c r="AG13" s="922"/>
      <x:c r="AH13" s="923"/>
      <x:c r="AI13" s="913"/>
      <x:c r="AJ13" s="913"/>
      <x:c r="AK13" s="913"/>
      <x:c r="AL13" s="916"/>
      <x:c r="AM13" s="1324"/>
      <x:c r="AN13" s="1325"/>
      <x:c r="AO13" s="1325"/>
      <x:c r="AP13" s="1325"/>
      <x:c r="AQ13" s="1325"/>
      <x:c r="AR13" s="1326"/>
    </x:row>
    <x:row r="14" spans="1:44" ht="16.75">
      <x:c r="A14" s="233"/>
      <x:c r="B14" s="234"/>
      <x:c r="C14" s="235"/>
      <x:c r="D14" s="235"/>
      <x:c r="E14" s="75"/>
      <x:c r="F14" s="75"/>
      <x:c r="G14" s="75"/>
      <x:c r="H14" s="75"/>
      <x:c r="I14" s="296" t="s">
        <x:v>231</x:v>
      </x:c>
      <x:c r="J14" s="105"/>
      <x:c r="K14" s="105"/>
      <x:c r="L14" s="105"/>
      <x:c r="M14" s="105"/>
      <x:c r="N14" s="105"/>
      <x:c r="O14" s="105"/>
      <x:c r="P14" s="105"/>
      <x:c r="Q14" s="596" t="s">
        <x:v>85</x:v>
      </x:c>
      <x:c r="R14" s="105"/>
      <x:c r="S14" s="105"/>
      <x:c r="T14" s="105"/>
      <x:c r="U14" s="105"/>
      <x:c r="V14" s="897"/>
      <x:c r="W14" s="105"/>
      <x:c r="X14" s="105"/>
      <x:c r="Y14" s="105"/>
      <x:c r="Z14" s="105"/>
      <x:c r="AA14" s="105"/>
      <x:c r="AB14" s="105"/>
      <x:c r="AC14" s="105"/>
      <x:c r="AD14" s="105"/>
      <x:c r="AE14" s="105"/>
      <x:c r="AF14" s="105"/>
      <x:c r="AG14" s="105"/>
      <x:c r="AH14" s="105"/>
      <x:c r="AI14" s="105"/>
      <x:c r="AJ14" s="105"/>
      <x:c r="AK14" s="105"/>
      <x:c r="AL14" s="105"/>
      <x:c r="AM14" s="113"/>
      <x:c r="AN14" s="113"/>
      <x:c r="AO14" s="113"/>
      <x:c r="AP14" s="113"/>
      <x:c r="AQ14" s="113"/>
      <x:c r="AR14" s="113"/>
    </x:row>
    <x:row r="15" spans="1:44" ht="16.5" customHeight="1">
      <x:c r="A15" s="1232" t="s">
        <x:v>424</x:v>
      </x:c>
      <x:c r="B15" s="1233"/>
      <x:c r="C15" s="1233"/>
      <x:c r="D15" s="1233"/>
      <x:c r="E15" s="1233"/>
      <x:c r="F15" s="1233"/>
      <x:c r="G15" s="1233"/>
      <x:c r="H15" s="1233"/>
      <x:c r="I15" s="1233"/>
      <x:c r="J15" s="1233"/>
      <x:c r="K15" s="1233"/>
      <x:c r="L15" s="1233"/>
      <x:c r="M15" s="1233"/>
      <x:c r="N15" s="1233"/>
      <x:c r="O15" s="1233"/>
      <x:c r="P15" s="1233"/>
      <x:c r="Q15" s="1233"/>
      <x:c r="R15" s="1233"/>
      <x:c r="S15" s="1233"/>
      <x:c r="T15" s="1233"/>
      <x:c r="U15" s="1233"/>
      <x:c r="V15" s="1233"/>
      <x:c r="W15" s="1233"/>
      <x:c r="X15" s="1233"/>
      <x:c r="Y15" s="1233"/>
      <x:c r="Z15" s="1233"/>
      <x:c r="AA15" s="1233"/>
      <x:c r="AB15" s="1233"/>
      <x:c r="AC15" s="1233"/>
      <x:c r="AD15" s="1233"/>
      <x:c r="AE15" s="1233"/>
      <x:c r="AF15" s="1233"/>
      <x:c r="AG15" s="1233"/>
      <x:c r="AH15" s="1233"/>
      <x:c r="AI15" s="1233"/>
      <x:c r="AJ15" s="1233"/>
      <x:c r="AK15" s="1233"/>
      <x:c r="AL15" s="1233"/>
      <x:c r="AM15" s="1233"/>
      <x:c r="AN15" s="1233"/>
      <x:c r="AO15" s="1233"/>
      <x:c r="AP15" s="1233"/>
      <x:c r="AQ15" s="1233"/>
      <x:c r="AR15" s="1234"/>
    </x:row>
    <x:row r="16" spans="1:44" ht="17.449999999999999" customHeight="1">
      <x:c r="A16" s="1235"/>
      <x:c r="B16" s="1236"/>
      <x:c r="C16" s="1236"/>
      <x:c r="D16" s="1236"/>
      <x:c r="E16" s="1236"/>
      <x:c r="F16" s="1236"/>
      <x:c r="G16" s="1236"/>
      <x:c r="H16" s="1236"/>
      <x:c r="I16" s="1236"/>
      <x:c r="J16" s="1236"/>
      <x:c r="K16" s="1236"/>
      <x:c r="L16" s="1236"/>
      <x:c r="M16" s="1236"/>
      <x:c r="N16" s="1236"/>
      <x:c r="O16" s="1236"/>
      <x:c r="P16" s="1236"/>
      <x:c r="Q16" s="1236"/>
      <x:c r="R16" s="1236"/>
      <x:c r="S16" s="1236"/>
      <x:c r="T16" s="1236"/>
      <x:c r="U16" s="1236"/>
      <x:c r="V16" s="1236"/>
      <x:c r="W16" s="1236"/>
      <x:c r="X16" s="1236"/>
      <x:c r="Y16" s="1236"/>
      <x:c r="Z16" s="1236"/>
      <x:c r="AA16" s="1236"/>
      <x:c r="AB16" s="1236"/>
      <x:c r="AC16" s="1236"/>
      <x:c r="AD16" s="1236"/>
      <x:c r="AE16" s="1236"/>
      <x:c r="AF16" s="1236"/>
      <x:c r="AG16" s="1236"/>
      <x:c r="AH16" s="1236"/>
      <x:c r="AI16" s="1236"/>
      <x:c r="AJ16" s="1236"/>
      <x:c r="AK16" s="1236"/>
      <x:c r="AL16" s="1236"/>
      <x:c r="AM16" s="1236"/>
      <x:c r="AN16" s="1236"/>
      <x:c r="AO16" s="1236"/>
      <x:c r="AP16" s="1236"/>
      <x:c r="AQ16" s="1236"/>
      <x:c r="AR16" s="1237"/>
    </x:row>
    <x:row r="17" spans="1:44" ht="17.449999999999999" customHeight="1">
      <x:c r="A17" s="1235"/>
      <x:c r="B17" s="1236"/>
      <x:c r="C17" s="1236"/>
      <x:c r="D17" s="1236"/>
      <x:c r="E17" s="1236"/>
      <x:c r="F17" s="1236"/>
      <x:c r="G17" s="1236"/>
      <x:c r="H17" s="1236"/>
      <x:c r="I17" s="1236"/>
      <x:c r="J17" s="1236"/>
      <x:c r="K17" s="1236"/>
      <x:c r="L17" s="1236"/>
      <x:c r="M17" s="1236"/>
      <x:c r="N17" s="1236"/>
      <x:c r="O17" s="1236"/>
      <x:c r="P17" s="1236"/>
      <x:c r="Q17" s="1236"/>
      <x:c r="R17" s="1236"/>
      <x:c r="S17" s="1236"/>
      <x:c r="T17" s="1236"/>
      <x:c r="U17" s="1236"/>
      <x:c r="V17" s="1236"/>
      <x:c r="W17" s="1236"/>
      <x:c r="X17" s="1236"/>
      <x:c r="Y17" s="1236"/>
      <x:c r="Z17" s="1236"/>
      <x:c r="AA17" s="1236"/>
      <x:c r="AB17" s="1236"/>
      <x:c r="AC17" s="1236"/>
      <x:c r="AD17" s="1236"/>
      <x:c r="AE17" s="1236"/>
      <x:c r="AF17" s="1236"/>
      <x:c r="AG17" s="1236"/>
      <x:c r="AH17" s="1236"/>
      <x:c r="AI17" s="1236"/>
      <x:c r="AJ17" s="1236"/>
      <x:c r="AK17" s="1236"/>
      <x:c r="AL17" s="1236"/>
      <x:c r="AM17" s="1236"/>
      <x:c r="AN17" s="1236"/>
      <x:c r="AO17" s="1236"/>
      <x:c r="AP17" s="1236"/>
      <x:c r="AQ17" s="1236"/>
      <x:c r="AR17" s="1237"/>
    </x:row>
    <x:row r="18" spans="1:44" ht="17.449999999999999" customHeight="1">
      <x:c r="A18" s="1235"/>
      <x:c r="B18" s="1236"/>
      <x:c r="C18" s="1236"/>
      <x:c r="D18" s="1236"/>
      <x:c r="E18" s="1236"/>
      <x:c r="F18" s="1236"/>
      <x:c r="G18" s="1236"/>
      <x:c r="H18" s="1236"/>
      <x:c r="I18" s="1236"/>
      <x:c r="J18" s="1236"/>
      <x:c r="K18" s="1236"/>
      <x:c r="L18" s="1236"/>
      <x:c r="M18" s="1236"/>
      <x:c r="N18" s="1236"/>
      <x:c r="O18" s="1236"/>
      <x:c r="P18" s="1236"/>
      <x:c r="Q18" s="1236"/>
      <x:c r="R18" s="1236"/>
      <x:c r="S18" s="1236"/>
      <x:c r="T18" s="1236"/>
      <x:c r="U18" s="1236"/>
      <x:c r="V18" s="1236"/>
      <x:c r="W18" s="1236"/>
      <x:c r="X18" s="1236"/>
      <x:c r="Y18" s="1236"/>
      <x:c r="Z18" s="1236"/>
      <x:c r="AA18" s="1236"/>
      <x:c r="AB18" s="1236"/>
      <x:c r="AC18" s="1236"/>
      <x:c r="AD18" s="1236"/>
      <x:c r="AE18" s="1236"/>
      <x:c r="AF18" s="1236"/>
      <x:c r="AG18" s="1236"/>
      <x:c r="AH18" s="1236"/>
      <x:c r="AI18" s="1236"/>
      <x:c r="AJ18" s="1236"/>
      <x:c r="AK18" s="1236"/>
      <x:c r="AL18" s="1236"/>
      <x:c r="AM18" s="1236"/>
      <x:c r="AN18" s="1236"/>
      <x:c r="AO18" s="1236"/>
      <x:c r="AP18" s="1236"/>
      <x:c r="AQ18" s="1236"/>
      <x:c r="AR18" s="1237"/>
    </x:row>
    <x:row r="19" spans="1:44" ht="17.449999999999999" customHeight="1">
      <x:c r="A19" s="1235"/>
      <x:c r="B19" s="1236"/>
      <x:c r="C19" s="1236"/>
      <x:c r="D19" s="1236"/>
      <x:c r="E19" s="1236"/>
      <x:c r="F19" s="1236"/>
      <x:c r="G19" s="1236"/>
      <x:c r="H19" s="1236"/>
      <x:c r="I19" s="1236"/>
      <x:c r="J19" s="1236"/>
      <x:c r="K19" s="1236"/>
      <x:c r="L19" s="1236"/>
      <x:c r="M19" s="1236"/>
      <x:c r="N19" s="1236"/>
      <x:c r="O19" s="1236"/>
      <x:c r="P19" s="1236"/>
      <x:c r="Q19" s="1236"/>
      <x:c r="R19" s="1236"/>
      <x:c r="S19" s="1236"/>
      <x:c r="T19" s="1236"/>
      <x:c r="U19" s="1236"/>
      <x:c r="V19" s="1236"/>
      <x:c r="W19" s="1236"/>
      <x:c r="X19" s="1236"/>
      <x:c r="Y19" s="1236"/>
      <x:c r="Z19" s="1236"/>
      <x:c r="AA19" s="1236"/>
      <x:c r="AB19" s="1236"/>
      <x:c r="AC19" s="1236"/>
      <x:c r="AD19" s="1236"/>
      <x:c r="AE19" s="1236"/>
      <x:c r="AF19" s="1236"/>
      <x:c r="AG19" s="1236"/>
      <x:c r="AH19" s="1236"/>
      <x:c r="AI19" s="1236"/>
      <x:c r="AJ19" s="1236"/>
      <x:c r="AK19" s="1236"/>
      <x:c r="AL19" s="1236"/>
      <x:c r="AM19" s="1236"/>
      <x:c r="AN19" s="1236"/>
      <x:c r="AO19" s="1236"/>
      <x:c r="AP19" s="1236"/>
      <x:c r="AQ19" s="1236"/>
      <x:c r="AR19" s="1237"/>
    </x:row>
    <x:row r="20" spans="1:44">
      <x:c r="A20" s="1238"/>
      <x:c r="B20" s="1239"/>
      <x:c r="C20" s="1239"/>
      <x:c r="D20" s="1239"/>
      <x:c r="E20" s="1239"/>
      <x:c r="F20" s="1239"/>
      <x:c r="G20" s="1239"/>
      <x:c r="H20" s="1239"/>
      <x:c r="I20" s="1239"/>
      <x:c r="J20" s="1239"/>
      <x:c r="K20" s="1239"/>
      <x:c r="L20" s="1239"/>
      <x:c r="M20" s="1239"/>
      <x:c r="N20" s="1239"/>
      <x:c r="O20" s="1239"/>
      <x:c r="P20" s="1239"/>
      <x:c r="Q20" s="1239"/>
      <x:c r="R20" s="1239"/>
      <x:c r="S20" s="1239"/>
      <x:c r="T20" s="1239"/>
      <x:c r="U20" s="1239"/>
      <x:c r="V20" s="1239"/>
      <x:c r="W20" s="1239"/>
      <x:c r="X20" s="1239"/>
      <x:c r="Y20" s="1239"/>
      <x:c r="Z20" s="1239"/>
      <x:c r="AA20" s="1239"/>
      <x:c r="AB20" s="1239"/>
      <x:c r="AC20" s="1239"/>
      <x:c r="AD20" s="1239"/>
      <x:c r="AE20" s="1239"/>
      <x:c r="AF20" s="1239"/>
      <x:c r="AG20" s="1239"/>
      <x:c r="AH20" s="1239"/>
      <x:c r="AI20" s="1239"/>
      <x:c r="AJ20" s="1239"/>
      <x:c r="AK20" s="1239"/>
      <x:c r="AL20" s="1239"/>
      <x:c r="AM20" s="1239"/>
      <x:c r="AN20" s="1239"/>
      <x:c r="AO20" s="1239"/>
      <x:c r="AP20" s="1239"/>
      <x:c r="AQ20" s="1239"/>
      <x:c r="AR20" s="1240"/>
    </x:row>
    <x:row r="21" spans="1:44">
      <x:c r="A21" s="74" t="s">
        <x:v>261</x:v>
      </x:c>
      <x:c r="B21" s="94"/>
      <x:c r="C21" s="74"/>
      <x:c r="D21" s="74"/>
      <x:c r="E21" s="74"/>
      <x:c r="F21" s="74"/>
      <x:c r="G21" s="74"/>
      <x:c r="H21" s="74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  <x:c r="V21" s="105"/>
      <x:c r="W21" s="105"/>
      <x:c r="X21" s="105"/>
      <x:c r="Y21" s="105"/>
      <x:c r="Z21" s="105"/>
      <x:c r="AA21" s="105"/>
      <x:c r="AB21" s="105"/>
      <x:c r="AC21" s="105"/>
      <x:c r="AD21" s="105"/>
      <x:c r="AE21" s="105"/>
      <x:c r="AF21" s="105"/>
      <x:c r="AG21" s="105"/>
      <x:c r="AH21" s="105"/>
      <x:c r="AI21" s="105"/>
      <x:c r="AJ21" s="105"/>
      <x:c r="AK21" s="105"/>
      <x:c r="AL21" s="105"/>
      <x:c r="AM21" s="113"/>
      <x:c r="AN21" s="113"/>
      <x:c r="AO21" s="113"/>
      <x:c r="AP21" s="113"/>
      <x:c r="AQ21" s="113"/>
      <x:c r="AR21" s="113"/>
    </x:row>
    <x:row r="22" spans="1:47" ht="16.5" customHeight="1">
      <x:c r="A22" s="1321" t="s">
        <x:v>70</x:v>
      </x:c>
      <x:c r="B22" s="206" t="s">
        <x:v>390</x:v>
      </x:c>
      <x:c r="C22" s="55" t="s">
        <x:v>172</x:v>
      </x:c>
      <x:c r="D22" s="241" t="s">
        <x:v>375</x:v>
      </x:c>
      <x:c r="E22" s="238"/>
      <x:c r="F22" s="45"/>
      <x:c r="G22" s="45"/>
      <x:c r="H22" s="338"/>
      <x:c r="I22" s="274"/>
      <x:c r="J22" s="307"/>
      <x:c r="K22" s="307"/>
      <x:c r="L22" s="307" t="s">
        <x:v>238</x:v>
      </x:c>
      <x:c r="M22" s="134"/>
      <x:c r="N22" s="671" t="s">
        <x:v>3</x:v>
      </x:c>
      <x:c r="O22" s="672"/>
      <x:c r="P22" s="672"/>
      <x:c r="Q22" s="672"/>
      <x:c r="R22" s="138"/>
      <x:c r="S22" s="141" t="s">
        <x:v>277</x:v>
      </x:c>
      <x:c r="T22" s="593"/>
      <x:c r="U22" s="145" t="s">
        <x:v>305</x:v>
      </x:c>
      <x:c r="V22" s="593"/>
      <x:c r="W22" s="138"/>
      <x:c r="X22" s="141"/>
      <x:c r="Y22" s="593"/>
      <x:c r="Z22" s="593"/>
      <x:c r="AA22" s="593"/>
      <x:c r="AB22" s="138"/>
      <x:c r="AC22" s="119" t="s">
        <x:v>331</x:v>
      </x:c>
      <x:c r="AD22" s="57"/>
      <x:c r="AE22" s="57"/>
      <x:c r="AF22" s="57"/>
      <x:c r="AG22" s="121" t="s">
        <x:v>152</x:v>
      </x:c>
      <x:c r="AH22" s="651"/>
      <x:c r="AI22" s="57"/>
      <x:c r="AJ22" s="57"/>
      <x:c r="AK22" s="57" t="s">
        <x:v>279</x:v>
      </x:c>
      <x:c r="AL22" s="149"/>
      <x:c r="AM22" s="1026" t="s">
        <x:v>411</x:v>
      </x:c>
      <x:c r="AN22" s="1027"/>
      <x:c r="AO22" s="1027"/>
      <x:c r="AP22" s="1027"/>
      <x:c r="AQ22" s="1027"/>
      <x:c r="AR22" s="1028"/>
      <x:c r="AS22" s="286" t="s">
        <x:v>43</x:v>
      </x:c>
      <x:c r="AT22" s="286" t="s">
        <x:v>145</x:v>
      </x:c>
      <x:c r="AU22" s="668"/>
    </x:row>
    <x:row r="23" spans="1:46">
      <x:c r="A23" s="1322"/>
      <x:c r="B23" s="265" t="s">
        <x:v>400</x:v>
      </x:c>
      <x:c r="C23" s="50" t="s">
        <x:v>172</x:v>
      </x:c>
      <x:c r="D23" s="203" t="s">
        <x:v>375</x:v>
      </x:c>
      <x:c r="E23" s="239"/>
      <x:c r="F23" s="48"/>
      <x:c r="G23" s="48"/>
      <x:c r="H23" s="339"/>
      <x:c r="I23" s="275"/>
      <x:c r="J23" s="306"/>
      <x:c r="K23" s="306"/>
      <x:c r="L23" s="306" t="s">
        <x:v>238</x:v>
      </x:c>
      <x:c r="M23" s="135"/>
      <x:c r="N23" s="673"/>
      <x:c r="O23" s="674"/>
      <x:c r="P23" s="674"/>
      <x:c r="Q23" s="674"/>
      <x:c r="R23" s="139"/>
      <x:c r="S23" s="142"/>
      <x:c r="T23" s="302"/>
      <x:c r="U23" s="146" t="s">
        <x:v>284</x:v>
      </x:c>
      <x:c r="V23" s="302"/>
      <x:c r="W23" s="139"/>
      <x:c r="X23" s="142"/>
      <x:c r="Y23" s="302"/>
      <x:c r="Z23" s="302"/>
      <x:c r="AA23" s="302"/>
      <x:c r="AB23" s="139"/>
      <x:c r="AC23" s="120" t="s">
        <x:v>331</x:v>
      </x:c>
      <x:c r="AD23" s="71"/>
      <x:c r="AE23" s="71"/>
      <x:c r="AF23" s="71"/>
      <x:c r="AG23" s="122" t="s">
        <x:v>152</x:v>
      </x:c>
      <x:c r="AH23" s="380"/>
      <x:c r="AI23" s="71"/>
      <x:c r="AJ23" s="71"/>
      <x:c r="AK23" s="71" t="s">
        <x:v>279</x:v>
      </x:c>
      <x:c r="AL23" s="150"/>
      <x:c r="AM23" s="1029" t="s">
        <x:v>405</x:v>
      </x:c>
      <x:c r="AN23" s="1030"/>
      <x:c r="AO23" s="1030"/>
      <x:c r="AP23" s="1030"/>
      <x:c r="AQ23" s="1030"/>
      <x:c r="AR23" s="1031"/>
      <x:c r="AS23" s="286" t="s">
        <x:v>43</x:v>
      </x:c>
      <x:c r="AT23" s="286" t="s">
        <x:v>145</x:v>
      </x:c>
    </x:row>
    <x:row r="24" spans="1:45">
      <x:c r="A24" s="1322"/>
      <x:c r="B24" s="252" t="s">
        <x:v>385</x:v>
      </x:c>
      <x:c r="C24" s="53" t="s">
        <x:v>172</x:v>
      </x:c>
      <x:c r="D24" s="166" t="s">
        <x:v>375</x:v>
      </x:c>
      <x:c r="E24" s="239"/>
      <x:c r="F24" s="48"/>
      <x:c r="G24" s="48"/>
      <x:c r="H24" s="339"/>
      <x:c r="I24" s="275"/>
      <x:c r="J24" s="306"/>
      <x:c r="K24" s="306"/>
      <x:c r="L24" s="306"/>
      <x:c r="M24" s="135"/>
      <x:c r="N24" s="673"/>
      <x:c r="O24" s="674"/>
      <x:c r="P24" s="674"/>
      <x:c r="Q24" s="674"/>
      <x:c r="R24" s="139"/>
      <x:c r="S24" s="292" t="s">
        <x:v>277</x:v>
      </x:c>
      <x:c r="T24" s="302"/>
      <x:c r="U24" s="302"/>
      <x:c r="V24" s="535" t="s">
        <x:v>15</x:v>
      </x:c>
      <x:c r="W24" s="139"/>
      <x:c r="X24" s="142"/>
      <x:c r="Y24" s="302" t="s">
        <x:v>238</x:v>
      </x:c>
      <x:c r="Z24" s="302"/>
      <x:c r="AA24" s="146" t="s">
        <x:v>331</x:v>
      </x:c>
      <x:c r="AB24" s="139"/>
      <x:c r="AC24" s="292"/>
      <x:c r="AD24" s="71"/>
      <x:c r="AE24" s="71"/>
      <x:c r="AF24" s="71"/>
      <x:c r="AG24" s="122" t="s">
        <x:v>152</x:v>
      </x:c>
      <x:c r="AH24" s="380"/>
      <x:c r="AI24" s="71"/>
      <x:c r="AJ24" s="71"/>
      <x:c r="AK24" s="71"/>
      <x:c r="AL24" s="150"/>
      <x:c r="AM24" s="1032" t="s">
        <x:v>13</x:v>
      </x:c>
      <x:c r="AN24" s="1033"/>
      <x:c r="AO24" s="1033"/>
      <x:c r="AP24" s="1033"/>
      <x:c r="AQ24" s="1033"/>
      <x:c r="AR24" s="1034"/>
      <x:c r="AS24" s="286" t="s">
        <x:v>43</x:v>
      </x:c>
    </x:row>
    <x:row r="25" spans="1:45">
      <x:c r="A25" s="1322"/>
      <x:c r="B25" s="864" t="s">
        <x:v>264</x:v>
      </x:c>
      <x:c r="C25" s="317" t="s">
        <x:v>172</x:v>
      </x:c>
      <x:c r="D25" s="826" t="s">
        <x:v>378</x:v>
      </x:c>
      <x:c r="E25" s="239"/>
      <x:c r="F25" s="48"/>
      <x:c r="G25" s="48"/>
      <x:c r="H25" s="339"/>
      <x:c r="I25" s="277"/>
      <x:c r="J25" s="308"/>
      <x:c r="K25" s="308"/>
      <x:c r="L25" s="308"/>
      <x:c r="M25" s="136"/>
      <x:c r="N25" s="277"/>
      <x:c r="O25" s="308"/>
      <x:c r="P25" s="308"/>
      <x:c r="Q25" s="308"/>
      <x:c r="R25" s="140"/>
      <x:c r="S25" s="356"/>
      <x:c r="T25" s="357"/>
      <x:c r="U25" s="357"/>
      <x:c r="V25" s="357"/>
      <x:c r="W25" s="140"/>
      <x:c r="X25" s="143"/>
      <x:c r="Y25" s="77"/>
      <x:c r="Z25" s="357" t="s">
        <x:v>357</x:v>
      </x:c>
      <x:c r="AA25" s="77"/>
      <x:c r="AB25" s="140"/>
      <x:c r="AC25" s="356" t="s">
        <x:v>277</x:v>
      </x:c>
      <x:c r="AD25" s="77"/>
      <x:c r="AE25" s="77"/>
      <x:c r="AF25" s="77"/>
      <x:c r="AG25" s="122" t="s">
        <x:v>77</x:v>
      </x:c>
      <x:c r="AH25" s="614"/>
      <x:c r="AI25" s="77"/>
      <x:c r="AJ25" s="77"/>
      <x:c r="AK25" s="77"/>
      <x:c r="AL25" s="151"/>
      <x:c r="AM25" s="1029" t="s">
        <x:v>414</x:v>
      </x:c>
      <x:c r="AN25" s="1030"/>
      <x:c r="AO25" s="1030"/>
      <x:c r="AP25" s="1030"/>
      <x:c r="AQ25" s="1030"/>
      <x:c r="AR25" s="1031"/>
      <x:c r="AS25" s="801"/>
    </x:row>
    <x:row r="26" spans="1:45">
      <x:c r="A26" s="1322"/>
      <x:c r="B26" s="864"/>
      <x:c r="C26" s="173"/>
      <x:c r="D26" s="181"/>
      <x:c r="E26" s="734"/>
      <x:c r="F26" s="735"/>
      <x:c r="G26" s="735"/>
      <x:c r="H26" s="957"/>
      <x:c r="I26" s="381"/>
      <x:c r="J26" s="320"/>
      <x:c r="K26" s="320"/>
      <x:c r="L26" s="320"/>
      <x:c r="M26" s="717"/>
      <x:c r="N26" s="381"/>
      <x:c r="O26" s="320"/>
      <x:c r="P26" s="320"/>
      <x:c r="Q26" s="320"/>
      <x:c r="R26" s="384"/>
      <x:c r="S26" s="382"/>
      <x:c r="T26" s="383"/>
      <x:c r="U26" s="385"/>
      <x:c r="V26" s="385"/>
      <x:c r="W26" s="384"/>
      <x:c r="X26" s="382"/>
      <x:c r="Y26" s="383"/>
      <x:c r="Z26" s="383"/>
      <x:c r="AA26" s="383"/>
      <x:c r="AB26" s="384"/>
      <x:c r="AC26" s="356" t="s">
        <x:v>207</x:v>
      </x:c>
      <x:c r="AD26" s="383"/>
      <x:c r="AE26" s="383"/>
      <x:c r="AF26" s="383"/>
      <x:c r="AG26" s="678"/>
      <x:c r="AH26" s="958"/>
      <x:c r="AI26" s="383"/>
      <x:c r="AJ26" s="383"/>
      <x:c r="AK26" s="383"/>
      <x:c r="AL26" s="718"/>
      <x:c r="AM26" s="1153"/>
      <x:c r="AN26" s="1154"/>
      <x:c r="AO26" s="1154"/>
      <x:c r="AP26" s="1154"/>
      <x:c r="AQ26" s="1154"/>
      <x:c r="AR26" s="1155"/>
      <x:c r="AS26" s="801"/>
    </x:row>
    <x:row r="27" spans="1:45">
      <x:c r="A27" s="1322"/>
      <x:c r="B27" s="959"/>
      <x:c r="C27" s="960"/>
      <x:c r="D27" s="961"/>
      <x:c r="E27" s="730"/>
      <x:c r="F27" s="716"/>
      <x:c r="G27" s="716"/>
      <x:c r="H27" s="724"/>
      <x:c r="I27" s="382"/>
      <x:c r="J27" s="383"/>
      <x:c r="K27" s="383"/>
      <x:c r="L27" s="383"/>
      <x:c r="M27" s="384"/>
      <x:c r="N27" s="799"/>
      <x:c r="O27" s="383"/>
      <x:c r="P27" s="383"/>
      <x:c r="Q27" s="383"/>
      <x:c r="R27" s="830"/>
      <x:c r="S27" s="382"/>
      <x:c r="T27" s="383"/>
      <x:c r="U27" s="383"/>
      <x:c r="V27" s="385"/>
      <x:c r="W27" s="384"/>
      <x:c r="X27" s="382"/>
      <x:c r="Y27" s="383"/>
      <x:c r="Z27" s="383"/>
      <x:c r="AA27" s="383"/>
      <x:c r="AB27" s="384"/>
      <x:c r="AC27" s="356" t="s">
        <x:v>229</x:v>
      </x:c>
      <x:c r="AD27" s="383"/>
      <x:c r="AE27" s="383"/>
      <x:c r="AF27" s="383"/>
      <x:c r="AG27" s="384"/>
      <x:c r="AH27" s="958"/>
      <x:c r="AI27" s="383"/>
      <x:c r="AJ27" s="383"/>
      <x:c r="AK27" s="383"/>
      <x:c r="AL27" s="718"/>
      <x:c r="AM27" s="1281"/>
      <x:c r="AN27" s="1282"/>
      <x:c r="AO27" s="1282"/>
      <x:c r="AP27" s="1282"/>
      <x:c r="AQ27" s="1282"/>
      <x:c r="AR27" s="1283"/>
      <x:c r="AS27" s="801"/>
    </x:row>
    <x:row r="28" spans="1:46" ht="16.75">
      <x:c r="A28" s="1323"/>
      <x:c r="B28" s="902"/>
      <x:c r="C28" s="902"/>
      <x:c r="D28" s="903"/>
      <x:c r="E28" s="904"/>
      <x:c r="F28" s="732"/>
      <x:c r="G28" s="732"/>
      <x:c r="H28" s="732"/>
      <x:c r="I28" s="185"/>
      <x:c r="J28" s="185"/>
      <x:c r="K28" s="185"/>
      <x:c r="L28" s="185"/>
      <x:c r="M28" s="185"/>
      <x:c r="N28" s="185"/>
      <x:c r="O28" s="185"/>
      <x:c r="P28" s="898"/>
      <x:c r="Q28" s="185"/>
      <x:c r="R28" s="899"/>
      <x:c r="S28" s="900"/>
      <x:c r="T28" s="694"/>
      <x:c r="U28" s="694"/>
      <x:c r="V28" s="694"/>
      <x:c r="W28" s="901"/>
      <x:c r="X28" s="900"/>
      <x:c r="Y28" s="694"/>
      <x:c r="Z28" s="694"/>
      <x:c r="AA28" s="694"/>
      <x:c r="AB28" s="901"/>
      <x:c r="AC28" s="900"/>
      <x:c r="AD28" s="694"/>
      <x:c r="AE28" s="694"/>
      <x:c r="AF28" s="694"/>
      <x:c r="AG28" s="901"/>
      <x:c r="AH28" s="562"/>
      <x:c r="AI28" s="185"/>
      <x:c r="AJ28" s="185"/>
      <x:c r="AK28" s="185"/>
      <x:c r="AL28" s="899"/>
      <x:c r="AM28" s="1084"/>
      <x:c r="AN28" s="1085"/>
      <x:c r="AO28" s="1085"/>
      <x:c r="AP28" s="1085"/>
      <x:c r="AQ28" s="1085"/>
      <x:c r="AR28" s="1086"/>
      <x:c r="AS28" s="768"/>
      <x:c r="AT28" s="286"/>
    </x:row>
    <x:row r="29" spans="1:44" s="452" customFormat="1">
      <x:c r="A29" s="74" t="s">
        <x:v>270</x:v>
      </x:c>
      <x:c r="B29" s="94"/>
      <x:c r="C29" s="74"/>
      <x:c r="D29" s="74"/>
      <x:c r="E29" s="74"/>
      <x:c r="F29" s="74"/>
      <x:c r="G29" s="74"/>
      <x:c r="H29" s="74"/>
      <x:c r="I29" s="105"/>
      <x:c r="J29" s="105"/>
      <x:c r="K29" s="105"/>
      <x:c r="L29" s="105"/>
      <x:c r="M29" s="105"/>
      <x:c r="N29" s="337" t="s">
        <x:v>38</x:v>
      </x:c>
      <x:c r="O29" s="105"/>
      <x:c r="P29" s="105"/>
      <x:c r="Q29" s="341" t="s">
        <x:v>349</x:v>
      </x:c>
      <x:c r="R29" s="105"/>
      <x:c r="S29" s="105"/>
      <x:c r="T29" s="105"/>
      <x:c r="U29" s="897"/>
      <x:c r="V29" s="105"/>
      <x:c r="W29" s="105"/>
      <x:c r="X29" s="105"/>
      <x:c r="Y29" s="105"/>
      <x:c r="Z29" s="105"/>
      <x:c r="AA29" s="105"/>
      <x:c r="AB29" s="105"/>
      <x:c r="AC29" s="105"/>
      <x:c r="AD29" s="105"/>
      <x:c r="AE29" s="105"/>
      <x:c r="AF29" s="105"/>
      <x:c r="AG29" s="105"/>
      <x:c r="AH29" s="105"/>
      <x:c r="AI29" s="105"/>
      <x:c r="AJ29" s="105"/>
      <x:c r="AK29" s="105"/>
      <x:c r="AL29" s="105"/>
      <x:c r="AM29" s="113"/>
      <x:c r="AN29" s="113"/>
      <x:c r="AO29" s="113"/>
      <x:c r="AP29" s="113"/>
      <x:c r="AQ29" s="113"/>
      <x:c r="AR29" s="113"/>
    </x:row>
    <x:row r="30" spans="1:46" ht="16.75">
      <x:c r="A30" s="1274" t="s">
        <x:v>134</x:v>
      </x:c>
      <x:c r="B30" s="397" t="s">
        <x:v>380</x:v>
      </x:c>
      <x:c r="C30" s="397" t="s">
        <x:v>275</x:v>
      </x:c>
      <x:c r="D30" s="398" t="s">
        <x:v>375</x:v>
      </x:c>
      <x:c r="E30" s="399"/>
      <x:c r="F30" s="400"/>
      <x:c r="G30" s="400"/>
      <x:c r="H30" s="400"/>
      <x:c r="I30" s="401"/>
      <x:c r="J30" s="402"/>
      <x:c r="K30" s="402"/>
      <x:c r="L30" s="402"/>
      <x:c r="M30" s="403"/>
      <x:c r="N30" s="551" t="s">
        <x:v>138</x:v>
      </x:c>
      <x:c r="O30" s="402"/>
      <x:c r="P30" s="402"/>
      <x:c r="Q30" s="587"/>
      <x:c r="R30" s="404"/>
      <x:c r="S30" s="401"/>
      <x:c r="T30" s="402"/>
      <x:c r="U30" s="402"/>
      <x:c r="V30" s="402"/>
      <x:c r="W30" s="404"/>
      <x:c r="X30" s="554"/>
      <x:c r="Y30" s="402"/>
      <x:c r="Z30" s="402"/>
      <x:c r="AA30" s="892" t="s">
        <x:v>119</x:v>
      </x:c>
      <x:c r="AB30" s="404"/>
      <x:c r="AC30" s="402"/>
      <x:c r="AD30" s="229"/>
      <x:c r="AE30" s="229"/>
      <x:c r="AF30" s="229"/>
      <x:c r="AG30" s="121" t="s">
        <x:v>140</x:v>
      </x:c>
      <x:c r="AH30" s="405"/>
      <x:c r="AI30" s="229"/>
      <x:c r="AJ30" s="229"/>
      <x:c r="AK30" s="229"/>
      <x:c r="AL30" s="404"/>
      <x:c r="AM30" s="1278"/>
      <x:c r="AN30" s="1279"/>
      <x:c r="AO30" s="1279"/>
      <x:c r="AP30" s="1279"/>
      <x:c r="AQ30" s="1279"/>
      <x:c r="AR30" s="1280"/>
      <x:c r="AS30" s="286" t="s">
        <x:v>43</x:v>
      </x:c>
      <x:c r="AT30" s="286" t="s">
        <x:v>145</x:v>
      </x:c>
    </x:row>
    <x:row r="31" spans="1:46">
      <x:c r="A31" s="1275"/>
      <x:c r="B31" s="407" t="s">
        <x:v>173</x:v>
      </x:c>
      <x:c r="C31" s="371" t="s">
        <x:v>275</x:v>
      </x:c>
      <x:c r="D31" s="408" t="s">
        <x:v>375</x:v>
      </x:c>
      <x:c r="E31" s="409"/>
      <x:c r="F31" s="410"/>
      <x:c r="G31" s="410"/>
      <x:c r="H31" s="410"/>
      <x:c r="I31" s="411"/>
      <x:c r="J31" s="334"/>
      <x:c r="K31" s="334"/>
      <x:c r="L31" s="334" t="s">
        <x:v>88</x:v>
      </x:c>
      <x:c r="M31" s="412"/>
      <x:c r="N31" s="411" t="s">
        <x:v>364</x:v>
      </x:c>
      <x:c r="O31" s="334"/>
      <x:c r="P31" s="334"/>
      <x:c r="Q31" s="334"/>
      <x:c r="R31" s="661" t="s">
        <x:v>349</x:v>
      </x:c>
      <x:c r="S31" s="411"/>
      <x:c r="T31" s="334"/>
      <x:c r="U31" s="334" t="s">
        <x:v>59</x:v>
      </x:c>
      <x:c r="V31" s="334"/>
      <x:c r="W31" s="412"/>
      <x:c r="X31" s="445"/>
      <x:c r="Y31" s="334"/>
      <x:c r="Z31" s="334"/>
      <x:c r="AA31" s="334"/>
      <x:c r="AB31" s="412"/>
      <x:c r="AC31" s="334" t="s">
        <x:v>114</x:v>
      </x:c>
      <x:c r="AD31" s="192"/>
      <x:c r="AE31" s="192"/>
      <x:c r="AF31" s="192"/>
      <x:c r="AG31" s="122" t="s">
        <x:v>77</x:v>
      </x:c>
      <x:c r="AH31" s="370"/>
      <x:c r="AI31" s="192"/>
      <x:c r="AJ31" s="192"/>
      <x:c r="AK31" s="192"/>
      <x:c r="AL31" s="412"/>
      <x:c r="AM31" s="1297" t="s">
        <x:v>67</x:v>
      </x:c>
      <x:c r="AN31" s="1298"/>
      <x:c r="AO31" s="1298"/>
      <x:c r="AP31" s="1298"/>
      <x:c r="AQ31" s="1298"/>
      <x:c r="AR31" s="1299"/>
      <x:c r="AS31" s="286" t="s">
        <x:v>43</x:v>
      </x:c>
      <x:c r="AT31" s="286"/>
    </x:row>
    <x:row r="32" spans="1:47">
      <x:c r="A32" s="1275"/>
      <x:c r="B32" s="192" t="s">
        <x:v>197</x:v>
      </x:c>
      <x:c r="C32" s="192" t="s">
        <x:v>275</x:v>
      </x:c>
      <x:c r="D32" s="191" t="s">
        <x:v>375</x:v>
      </x:c>
      <x:c r="E32" s="409"/>
      <x:c r="F32" s="410"/>
      <x:c r="G32" s="410"/>
      <x:c r="H32" s="410"/>
      <x:c r="I32" s="411"/>
      <x:c r="J32" s="334"/>
      <x:c r="K32" s="414"/>
      <x:c r="L32" s="415" t="s">
        <x:v>141</x:v>
      </x:c>
      <x:c r="M32" s="412"/>
      <x:c r="N32" s="411" t="s">
        <x:v>364</x:v>
      </x:c>
      <x:c r="O32" s="334" t="s">
        <x:v>79</x:v>
      </x:c>
      <x:c r="P32" s="334" t="s">
        <x:v>74</x:v>
      </x:c>
      <x:c r="Q32" s="334" t="s">
        <x:v>303</x:v>
      </x:c>
      <x:c r="R32" s="661" t="s">
        <x:v>341</x:v>
      </x:c>
      <x:c r="S32" s="411"/>
      <x:c r="T32" s="334"/>
      <x:c r="U32" s="334"/>
      <x:c r="V32" s="334"/>
      <x:c r="W32" s="412"/>
      <x:c r="X32" s="445"/>
      <x:c r="Y32" s="334"/>
      <x:c r="Z32" s="334"/>
      <x:c r="AA32" s="334"/>
      <x:c r="AB32" s="412"/>
      <x:c r="AC32" s="334"/>
      <x:c r="AD32" s="192"/>
      <x:c r="AE32" s="192"/>
      <x:c r="AF32" s="192"/>
      <x:c r="AG32" s="122" t="s">
        <x:v>77</x:v>
      </x:c>
      <x:c r="AH32" s="370"/>
      <x:c r="AI32" s="192"/>
      <x:c r="AJ32" s="192"/>
      <x:c r="AK32" s="192" t="s">
        <x:v>279</x:v>
      </x:c>
      <x:c r="AL32" s="412"/>
      <x:c r="AM32" s="1294" t="s">
        <x:v>419</x:v>
      </x:c>
      <x:c r="AN32" s="1295"/>
      <x:c r="AO32" s="1295"/>
      <x:c r="AP32" s="1295"/>
      <x:c r="AQ32" s="1295"/>
      <x:c r="AR32" s="1296"/>
      <x:c r="AS32" s="286" t="s">
        <x:v>43</x:v>
      </x:c>
      <x:c r="AU32" s="41"/>
    </x:row>
    <x:row r="33" spans="1:46">
      <x:c r="A33" s="1275"/>
      <x:c r="B33" s="364" t="s">
        <x:v>399</x:v>
      </x:c>
      <x:c r="C33" s="192" t="s">
        <x:v>159</x:v>
      </x:c>
      <x:c r="D33" s="191" t="s">
        <x:v>375</x:v>
      </x:c>
      <x:c r="E33" s="409"/>
      <x:c r="F33" s="410"/>
      <x:c r="G33" s="410"/>
      <x:c r="H33" s="410"/>
      <x:c r="I33" s="411"/>
      <x:c r="J33" s="334"/>
      <x:c r="K33" s="334"/>
      <x:c r="L33" s="334" t="s">
        <x:v>88</x:v>
      </x:c>
      <x:c r="M33" s="412"/>
      <x:c r="N33" s="411"/>
      <x:c r="O33" s="334"/>
      <x:c r="P33" s="334"/>
      <x:c r="Q33" s="334" t="s">
        <x:v>295</x:v>
      </x:c>
      <x:c r="R33" s="659" t="s">
        <x:v>399</x:v>
      </x:c>
      <x:c r="S33" s="411"/>
      <x:c r="T33" s="334" t="s">
        <x:v>122</x:v>
      </x:c>
      <x:c r="U33" s="334"/>
      <x:c r="V33" s="334" t="s">
        <x:v>295</x:v>
      </x:c>
      <x:c r="W33" s="412"/>
      <x:c r="X33" s="445"/>
      <x:c r="Y33" s="334"/>
      <x:c r="Z33" s="334" t="s">
        <x:v>41</x:v>
      </x:c>
      <x:c r="AA33" s="334"/>
      <x:c r="AB33" s="412"/>
      <x:c r="AC33" s="334"/>
      <x:c r="AD33" s="192"/>
      <x:c r="AE33" s="192"/>
      <x:c r="AF33" s="192"/>
      <x:c r="AG33" s="122" t="s">
        <x:v>77</x:v>
      </x:c>
      <x:c r="AH33" s="370"/>
      <x:c r="AI33" s="192"/>
      <x:c r="AJ33" s="192"/>
      <x:c r="AK33" s="192"/>
      <x:c r="AL33" s="412"/>
      <x:c r="AM33" s="1300"/>
      <x:c r="AN33" s="1301"/>
      <x:c r="AO33" s="1301"/>
      <x:c r="AP33" s="1301"/>
      <x:c r="AQ33" s="1301"/>
      <x:c r="AR33" s="1302"/>
      <x:c r="AS33" s="286" t="s">
        <x:v>43</x:v>
      </x:c>
      <x:c r="AT33" s="286" t="s">
        <x:v>145</x:v>
      </x:c>
    </x:row>
    <x:row r="34" spans="1:46">
      <x:c r="A34" s="1276"/>
      <x:c r="B34" s="364" t="s">
        <x:v>393</x:v>
      </x:c>
      <x:c r="C34" s="371" t="s">
        <x:v>275</x:v>
      </x:c>
      <x:c r="D34" s="372" t="s">
        <x:v>378</x:v>
      </x:c>
      <x:c r="E34" s="416"/>
      <x:c r="F34" s="417"/>
      <x:c r="G34" s="417"/>
      <x:c r="H34" s="417"/>
      <x:c r="I34" s="418"/>
      <x:c r="J34" s="415"/>
      <x:c r="K34" s="415"/>
      <x:c r="L34" s="415" t="s">
        <x:v>303</x:v>
      </x:c>
      <x:c r="M34" s="419"/>
      <x:c r="N34" s="418"/>
      <x:c r="O34" s="415" t="s">
        <x:v>235</x:v>
      </x:c>
      <x:c r="P34" s="415"/>
      <x:c r="Q34" s="415" t="s">
        <x:v>303</x:v>
      </x:c>
      <x:c r="R34" s="660" t="s">
        <x:v>393</x:v>
      </x:c>
      <x:c r="S34" s="418"/>
      <x:c r="T34" s="415" t="s">
        <x:v>116</x:v>
      </x:c>
      <x:c r="U34" s="415"/>
      <x:c r="V34" s="415"/>
      <x:c r="W34" s="419"/>
      <x:c r="X34" s="815"/>
      <x:c r="Y34" s="415"/>
      <x:c r="Z34" s="343" t="s">
        <x:v>150</x:v>
      </x:c>
      <x:c r="AA34" s="415"/>
      <x:c r="AB34" s="419"/>
      <x:c r="AC34" s="986"/>
      <x:c r="AD34" s="362"/>
      <x:c r="AE34" s="362"/>
      <x:c r="AF34" s="362"/>
      <x:c r="AG34" s="122" t="s">
        <x:v>77</x:v>
      </x:c>
      <x:c r="AH34" s="984"/>
      <x:c r="AI34" s="362"/>
      <x:c r="AJ34" s="362"/>
      <x:c r="AK34" s="362"/>
      <x:c r="AL34" s="419"/>
      <x:c r="AM34" s="1103" t="s">
        <x:v>431</x:v>
      </x:c>
      <x:c r="AN34" s="1303"/>
      <x:c r="AO34" s="1303"/>
      <x:c r="AP34" s="1303"/>
      <x:c r="AQ34" s="1303"/>
      <x:c r="AR34" s="1304"/>
      <x:c r="AS34" s="286" t="s">
        <x:v>43</x:v>
      </x:c>
      <x:c r="AT34" s="286"/>
    </x:row>
    <x:row r="35" spans="1:47" s="452" customFormat="1">
      <x:c r="A35" s="1277"/>
      <x:c r="B35" s="72" t="s">
        <x:v>294</x:v>
      </x:c>
      <x:c r="C35" s="72" t="s">
        <x:v>275</x:v>
      </x:c>
      <x:c r="D35" s="207" t="s">
        <x:v>375</x:v>
      </x:c>
      <x:c r="E35" s="47"/>
      <x:c r="F35" s="47"/>
      <x:c r="G35" s="47"/>
      <x:c r="H35" s="47"/>
      <x:c r="I35" s="275"/>
      <x:c r="J35" s="306"/>
      <x:c r="K35" s="306"/>
      <x:c r="L35" s="306"/>
      <x:c r="M35" s="135"/>
      <x:c r="N35" s="275"/>
      <x:c r="O35" s="306"/>
      <x:c r="P35" s="306"/>
      <x:c r="Q35" s="306"/>
      <x:c r="R35" s="139"/>
      <x:c r="S35" s="686"/>
      <x:c r="T35" s="385"/>
      <x:c r="U35" s="385"/>
      <x:c r="V35" s="385"/>
      <x:c r="W35" s="678"/>
      <x:c r="X35" s="686"/>
      <x:c r="Y35" s="385"/>
      <x:c r="Z35" s="385"/>
      <x:c r="AA35" s="385"/>
      <x:c r="AB35" s="678"/>
      <x:c r="AC35" s="142"/>
      <x:c r="AD35" s="385"/>
      <x:c r="AE35" s="385"/>
      <x:c r="AF35" s="385"/>
      <x:c r="AG35" s="678"/>
      <x:c r="AH35" s="686"/>
      <x:c r="AI35" s="385"/>
      <x:c r="AJ35" s="385"/>
      <x:c r="AK35" s="385"/>
      <x:c r="AL35" s="678"/>
      <x:c r="AM35" s="1171" t="s">
        <x:v>8</x:v>
      </x:c>
      <x:c r="AN35" s="1172"/>
      <x:c r="AO35" s="1172"/>
      <x:c r="AP35" s="1172"/>
      <x:c r="AQ35" s="1172"/>
      <x:c r="AR35" s="1173"/>
      <x:c r="AS35" s="286" t="s">
        <x:v>43</x:v>
      </x:c>
      <x:c r="AT35" s="286" t="s">
        <x:v>145</x:v>
      </x:c>
      <x:c r="AU35" s="286" t="s">
        <x:v>154</x:v>
      </x:c>
    </x:row>
    <x:row r="36" spans="1:44" s="452" customFormat="1" ht="16.75">
      <x:c r="A36" s="1277"/>
      <x:c r="B36" s="374"/>
      <x:c r="C36" s="374"/>
      <x:c r="D36" s="818"/>
      <x:c r="E36" s="819"/>
      <x:c r="F36" s="420"/>
      <x:c r="G36" s="420"/>
      <x:c r="H36" s="420"/>
      <x:c r="I36" s="597"/>
      <x:c r="J36" s="597"/>
      <x:c r="K36" s="820"/>
      <x:c r="L36" s="597"/>
      <x:c r="M36" s="821"/>
      <x:c r="N36" s="597"/>
      <x:c r="O36" s="309" t="s">
        <x:v>361</x:v>
      </x:c>
      <x:c r="P36" s="311" t="s">
        <x:v>272</x:v>
      </x:c>
      <x:c r="Q36" s="361" t="s">
        <x:v>225</x:v>
      </x:c>
      <x:c r="R36" s="822" t="s">
        <x:v>163</x:v>
      </x:c>
      <x:c r="S36" s="823" t="s">
        <x:v>281</x:v>
      </x:c>
      <x:c r="T36" s="597" t="s">
        <x:v>294</x:v>
      </x:c>
      <x:c r="U36" s="597" t="s">
        <x:v>281</x:v>
      </x:c>
      <x:c r="V36" s="597" t="s">
        <x:v>272</x:v>
      </x:c>
      <x:c r="W36" s="421"/>
      <x:c r="X36" s="422"/>
      <x:c r="Y36" s="374"/>
      <x:c r="Z36" s="374"/>
      <x:c r="AA36" s="374"/>
      <x:c r="AB36" s="421"/>
      <x:c r="AC36" s="422"/>
      <x:c r="AD36" s="374"/>
      <x:c r="AE36" s="374"/>
      <x:c r="AF36" s="374"/>
      <x:c r="AG36" s="423"/>
      <x:c r="AH36" s="422"/>
      <x:c r="AI36" s="374"/>
      <x:c r="AJ36" s="374"/>
      <x:c r="AK36" s="374"/>
      <x:c r="AL36" s="421"/>
      <x:c r="AM36" s="795"/>
      <x:c r="AN36" s="824"/>
      <x:c r="AO36" s="824"/>
      <x:c r="AP36" s="824"/>
      <x:c r="AQ36" s="824"/>
      <x:c r="AR36" s="825"/>
    </x:row>
    <x:row r="37" spans="1:44" ht="16.75">
      <x:c r="A37" s="235" t="s">
        <x:v>104</x:v>
      </x:c>
      <x:c r="B37" s="234"/>
      <x:c r="C37" s="235"/>
      <x:c r="D37" s="235"/>
      <x:c r="E37" s="235"/>
      <x:c r="F37" s="235"/>
      <x:c r="G37" s="235"/>
      <x:c r="H37" s="235"/>
      <x:c r="I37" s="236"/>
      <x:c r="J37" s="236"/>
      <x:c r="K37" s="236"/>
      <x:c r="L37" s="236"/>
      <x:c r="M37" s="236"/>
      <x:c r="N37" s="236"/>
      <x:c r="O37" s="810"/>
      <x:c r="P37" s="810"/>
      <x:c r="Q37" s="810"/>
      <x:c r="R37" s="236"/>
      <x:c r="S37" s="236"/>
      <x:c r="T37" s="236"/>
      <x:c r="U37" s="236"/>
      <x:c r="V37" s="236"/>
      <x:c r="W37" s="236"/>
      <x:c r="X37" s="236"/>
      <x:c r="Y37" s="236"/>
      <x:c r="Z37" s="236"/>
      <x:c r="AA37" s="236"/>
      <x:c r="AB37" s="236"/>
      <x:c r="AC37" s="236"/>
      <x:c r="AD37" s="236" t="s">
        <x:v>40</x:v>
      </x:c>
      <x:c r="AE37" s="236"/>
      <x:c r="AF37" s="236"/>
      <x:c r="AG37" s="236"/>
      <x:c r="AH37" s="236"/>
      <x:c r="AI37" s="236"/>
      <x:c r="AJ37" s="236"/>
      <x:c r="AK37" s="236"/>
      <x:c r="AL37" s="236"/>
      <x:c r="AM37" s="811"/>
      <x:c r="AN37" s="811"/>
      <x:c r="AO37" s="811"/>
      <x:c r="AP37" s="811"/>
      <x:c r="AQ37" s="811"/>
      <x:c r="AR37" s="811"/>
    </x:row>
    <x:row r="38" spans="1:45" ht="16.75" customHeight="1">
      <x:c r="A38" s="1318" t="s">
        <x:v>153</x:v>
      </x:c>
      <x:c r="B38" s="976"/>
      <x:c r="C38" s="976"/>
      <x:c r="D38" s="977"/>
      <x:c r="E38" s="933"/>
      <x:c r="F38" s="798"/>
      <x:c r="G38" s="798"/>
      <x:c r="H38" s="798"/>
      <x:c r="I38" s="978"/>
      <x:c r="J38" s="185"/>
      <x:c r="K38" s="185"/>
      <x:c r="L38" s="185"/>
      <x:c r="M38" s="797"/>
      <x:c r="N38" s="796"/>
      <x:c r="O38" s="185"/>
      <x:c r="P38" s="185"/>
      <x:c r="Q38" s="185"/>
      <x:c r="R38" s="797"/>
      <x:c r="S38" s="1144" t="s">
        <x:v>27</x:v>
      </x:c>
      <x:c r="T38" s="1145"/>
      <x:c r="U38" s="1145"/>
      <x:c r="V38" s="1145"/>
      <x:c r="W38" s="1146"/>
      <x:c r="X38" s="1144" t="s">
        <x:v>27</x:v>
      </x:c>
      <x:c r="Y38" s="1145"/>
      <x:c r="Z38" s="1145"/>
      <x:c r="AA38" s="1145"/>
      <x:c r="AB38" s="1146"/>
      <x:c r="AC38" s="1144" t="s">
        <x:v>27</x:v>
      </x:c>
      <x:c r="AD38" s="1145"/>
      <x:c r="AE38" s="1145"/>
      <x:c r="AF38" s="1145"/>
      <x:c r="AG38" s="1146"/>
      <x:c r="AH38" s="1144" t="s">
        <x:v>27</x:v>
      </x:c>
      <x:c r="AI38" s="1145"/>
      <x:c r="AJ38" s="1145"/>
      <x:c r="AK38" s="1145"/>
      <x:c r="AL38" s="1146"/>
      <x:c r="AM38" s="1315"/>
      <x:c r="AN38" s="1316"/>
      <x:c r="AO38" s="1316"/>
      <x:c r="AP38" s="1316"/>
      <x:c r="AQ38" s="1316"/>
      <x:c r="AR38" s="1317"/>
      <x:c r="AS38" s="768"/>
    </x:row>
    <x:row r="39" spans="1:46">
      <x:c r="A39" s="1319"/>
      <x:c r="B39" s="732"/>
      <x:c r="C39" s="732"/>
      <x:c r="D39" s="733"/>
      <x:c r="E39" s="933"/>
      <x:c r="F39" s="798"/>
      <x:c r="G39" s="798"/>
      <x:c r="H39" s="798"/>
      <x:c r="I39" s="799"/>
      <x:c r="J39" s="343"/>
      <x:c r="K39" s="343"/>
      <x:c r="L39" s="185"/>
      <x:c r="M39" s="696"/>
      <x:c r="N39" s="799"/>
      <x:c r="O39" s="800"/>
      <x:c r="P39" s="343"/>
      <x:c r="Q39" s="343"/>
      <x:c r="R39" s="696"/>
      <x:c r="S39" s="1147"/>
      <x:c r="T39" s="1148"/>
      <x:c r="U39" s="1148"/>
      <x:c r="V39" s="1148"/>
      <x:c r="W39" s="1149"/>
      <x:c r="X39" s="1147"/>
      <x:c r="Y39" s="1148"/>
      <x:c r="Z39" s="1148"/>
      <x:c r="AA39" s="1148"/>
      <x:c r="AB39" s="1149"/>
      <x:c r="AC39" s="1147"/>
      <x:c r="AD39" s="1148"/>
      <x:c r="AE39" s="1148"/>
      <x:c r="AF39" s="1148"/>
      <x:c r="AG39" s="1149"/>
      <x:c r="AH39" s="1147"/>
      <x:c r="AI39" s="1148"/>
      <x:c r="AJ39" s="1148"/>
      <x:c r="AK39" s="1148"/>
      <x:c r="AL39" s="1149"/>
      <x:c r="AM39" s="1258"/>
      <x:c r="AN39" s="1259"/>
      <x:c r="AO39" s="1259"/>
      <x:c r="AP39" s="1259"/>
      <x:c r="AQ39" s="1259"/>
      <x:c r="AR39" s="1260"/>
      <x:c r="AS39" s="768"/>
      <x:c r="AT39" s="286"/>
    </x:row>
    <x:row r="40" spans="1:46" ht="16.75">
      <x:c r="A40" s="1319"/>
      <x:c r="B40" s="732"/>
      <x:c r="C40" s="732"/>
      <x:c r="D40" s="733"/>
      <x:c r="E40" s="934"/>
      <x:c r="F40" s="802"/>
      <x:c r="G40" s="802"/>
      <x:c r="H40" s="802"/>
      <x:c r="I40" s="803"/>
      <x:c r="J40" s="804"/>
      <x:c r="K40" s="805"/>
      <x:c r="L40" s="806"/>
      <x:c r="M40" s="807"/>
      <x:c r="N40" s="803"/>
      <x:c r="O40" s="808"/>
      <x:c r="P40" s="804"/>
      <x:c r="Q40" s="804"/>
      <x:c r="R40" s="809"/>
      <x:c r="S40" s="1147"/>
      <x:c r="T40" s="1148"/>
      <x:c r="U40" s="1148"/>
      <x:c r="V40" s="1148"/>
      <x:c r="W40" s="1149"/>
      <x:c r="X40" s="1147"/>
      <x:c r="Y40" s="1148"/>
      <x:c r="Z40" s="1148"/>
      <x:c r="AA40" s="1148"/>
      <x:c r="AB40" s="1149"/>
      <x:c r="AC40" s="1147"/>
      <x:c r="AD40" s="1148"/>
      <x:c r="AE40" s="1148"/>
      <x:c r="AF40" s="1148"/>
      <x:c r="AG40" s="1149"/>
      <x:c r="AH40" s="1147"/>
      <x:c r="AI40" s="1148"/>
      <x:c r="AJ40" s="1148"/>
      <x:c r="AK40" s="1148"/>
      <x:c r="AL40" s="1149"/>
      <x:c r="AM40" s="1258"/>
      <x:c r="AN40" s="1259"/>
      <x:c r="AO40" s="1259"/>
      <x:c r="AP40" s="1259"/>
      <x:c r="AQ40" s="1259"/>
      <x:c r="AR40" s="1260"/>
      <x:c r="AS40" s="768"/>
      <x:c r="AT40" s="286"/>
    </x:row>
    <x:row r="41" spans="1:45" ht="16.75">
      <x:c r="A41" s="1319"/>
      <x:c r="B41" s="732"/>
      <x:c r="C41" s="732"/>
      <x:c r="D41" s="733"/>
      <x:c r="E41" s="934"/>
      <x:c r="F41" s="802"/>
      <x:c r="G41" s="802"/>
      <x:c r="H41" s="802"/>
      <x:c r="I41" s="803"/>
      <x:c r="J41" s="804"/>
      <x:c r="K41" s="805"/>
      <x:c r="L41" s="806"/>
      <x:c r="M41" s="807"/>
      <x:c r="N41" s="803"/>
      <x:c r="O41" s="808"/>
      <x:c r="P41" s="804"/>
      <x:c r="Q41" s="804"/>
      <x:c r="R41" s="809"/>
      <x:c r="S41" s="1147"/>
      <x:c r="T41" s="1148"/>
      <x:c r="U41" s="1148"/>
      <x:c r="V41" s="1148"/>
      <x:c r="W41" s="1149"/>
      <x:c r="X41" s="1147"/>
      <x:c r="Y41" s="1148"/>
      <x:c r="Z41" s="1148"/>
      <x:c r="AA41" s="1148"/>
      <x:c r="AB41" s="1149"/>
      <x:c r="AC41" s="1147"/>
      <x:c r="AD41" s="1148"/>
      <x:c r="AE41" s="1148"/>
      <x:c r="AF41" s="1148"/>
      <x:c r="AG41" s="1149"/>
      <x:c r="AH41" s="1147"/>
      <x:c r="AI41" s="1148"/>
      <x:c r="AJ41" s="1148"/>
      <x:c r="AK41" s="1148"/>
      <x:c r="AL41" s="1149"/>
      <x:c r="AM41" s="1258"/>
      <x:c r="AN41" s="1259"/>
      <x:c r="AO41" s="1259"/>
      <x:c r="AP41" s="1259"/>
      <x:c r="AQ41" s="1259"/>
      <x:c r="AR41" s="1260"/>
      <x:c r="AS41" s="801"/>
    </x:row>
    <x:row r="42" spans="1:46">
      <x:c r="A42" s="1319"/>
      <x:c r="B42" s="732"/>
      <x:c r="C42" s="732"/>
      <x:c r="D42" s="733"/>
      <x:c r="E42" s="933"/>
      <x:c r="F42" s="798"/>
      <x:c r="G42" s="798"/>
      <x:c r="H42" s="798"/>
      <x:c r="I42" s="799"/>
      <x:c r="J42" s="343"/>
      <x:c r="K42" s="343"/>
      <x:c r="L42" s="185"/>
      <x:c r="M42" s="696"/>
      <x:c r="N42" s="799"/>
      <x:c r="O42" s="800"/>
      <x:c r="P42" s="343"/>
      <x:c r="Q42" s="343"/>
      <x:c r="R42" s="696"/>
      <x:c r="S42" s="1147"/>
      <x:c r="T42" s="1148"/>
      <x:c r="U42" s="1148"/>
      <x:c r="V42" s="1148"/>
      <x:c r="W42" s="1149"/>
      <x:c r="X42" s="1147"/>
      <x:c r="Y42" s="1148"/>
      <x:c r="Z42" s="1148"/>
      <x:c r="AA42" s="1148"/>
      <x:c r="AB42" s="1149"/>
      <x:c r="AC42" s="1147"/>
      <x:c r="AD42" s="1148"/>
      <x:c r="AE42" s="1148"/>
      <x:c r="AF42" s="1148"/>
      <x:c r="AG42" s="1149"/>
      <x:c r="AH42" s="1147"/>
      <x:c r="AI42" s="1148"/>
      <x:c r="AJ42" s="1148"/>
      <x:c r="AK42" s="1148"/>
      <x:c r="AL42" s="1149"/>
      <x:c r="AM42" s="1258"/>
      <x:c r="AN42" s="1259"/>
      <x:c r="AO42" s="1259"/>
      <x:c r="AP42" s="1259"/>
      <x:c r="AQ42" s="1259"/>
      <x:c r="AR42" s="1260"/>
      <x:c r="AS42" s="801"/>
      <x:c r="AT42" s="801"/>
    </x:row>
    <x:row r="43" spans="1:46" ht="16.75">
      <x:c r="A43" s="1319"/>
      <x:c r="B43" s="732"/>
      <x:c r="C43" s="732"/>
      <x:c r="D43" s="733"/>
      <x:c r="E43" s="934"/>
      <x:c r="F43" s="802"/>
      <x:c r="G43" s="802"/>
      <x:c r="H43" s="802"/>
      <x:c r="I43" s="803"/>
      <x:c r="J43" s="804"/>
      <x:c r="K43" s="805"/>
      <x:c r="L43" s="806"/>
      <x:c r="M43" s="807"/>
      <x:c r="N43" s="803"/>
      <x:c r="O43" s="808"/>
      <x:c r="P43" s="804"/>
      <x:c r="Q43" s="804"/>
      <x:c r="R43" s="809"/>
      <x:c r="S43" s="1147"/>
      <x:c r="T43" s="1148"/>
      <x:c r="U43" s="1148"/>
      <x:c r="V43" s="1148"/>
      <x:c r="W43" s="1149"/>
      <x:c r="X43" s="1147"/>
      <x:c r="Y43" s="1148"/>
      <x:c r="Z43" s="1148"/>
      <x:c r="AA43" s="1148"/>
      <x:c r="AB43" s="1149"/>
      <x:c r="AC43" s="1147"/>
      <x:c r="AD43" s="1148"/>
      <x:c r="AE43" s="1148"/>
      <x:c r="AF43" s="1148"/>
      <x:c r="AG43" s="1149"/>
      <x:c r="AH43" s="1147"/>
      <x:c r="AI43" s="1148"/>
      <x:c r="AJ43" s="1148"/>
      <x:c r="AK43" s="1148"/>
      <x:c r="AL43" s="1149"/>
      <x:c r="AM43" s="1258"/>
      <x:c r="AN43" s="1259"/>
      <x:c r="AO43" s="1259"/>
      <x:c r="AP43" s="1259"/>
      <x:c r="AQ43" s="1259"/>
      <x:c r="AR43" s="1260"/>
      <x:c r="AS43" s="801"/>
      <x:c r="AT43" s="801"/>
    </x:row>
    <x:row r="44" spans="1:46" s="452" customFormat="1" ht="16.75">
      <x:c r="A44" s="935"/>
      <x:c r="B44" s="936"/>
      <x:c r="C44" s="936"/>
      <x:c r="D44" s="937"/>
      <x:c r="E44" s="929"/>
      <x:c r="F44" s="928"/>
      <x:c r="G44" s="928"/>
      <x:c r="H44" s="928"/>
      <x:c r="I44" s="930"/>
      <x:c r="J44" s="930"/>
      <x:c r="K44" s="930"/>
      <x:c r="L44" s="930"/>
      <x:c r="M44" s="930"/>
      <x:c r="N44" s="930"/>
      <x:c r="O44" s="930"/>
      <x:c r="P44" s="930"/>
      <x:c r="Q44" s="930"/>
      <x:c r="R44" s="931"/>
      <x:c r="S44" s="1150"/>
      <x:c r="T44" s="1151"/>
      <x:c r="U44" s="1151"/>
      <x:c r="V44" s="1151"/>
      <x:c r="W44" s="1152"/>
      <x:c r="X44" s="1150"/>
      <x:c r="Y44" s="1151"/>
      <x:c r="Z44" s="1151"/>
      <x:c r="AA44" s="1151"/>
      <x:c r="AB44" s="1152"/>
      <x:c r="AC44" s="1150"/>
      <x:c r="AD44" s="1151"/>
      <x:c r="AE44" s="1151"/>
      <x:c r="AF44" s="1151"/>
      <x:c r="AG44" s="1152"/>
      <x:c r="AH44" s="1150"/>
      <x:c r="AI44" s="1151"/>
      <x:c r="AJ44" s="1151"/>
      <x:c r="AK44" s="1151"/>
      <x:c r="AL44" s="1152"/>
      <x:c r="AM44" s="1305"/>
      <x:c r="AN44" s="1306"/>
      <x:c r="AO44" s="1306"/>
      <x:c r="AP44" s="1306"/>
      <x:c r="AQ44" s="1306"/>
      <x:c r="AR44" s="1307"/>
      <x:c r="AS44" s="932"/>
      <x:c r="AT44" s="932"/>
    </x:row>
    <x:row r="45" spans="1:44" ht="16.75">
      <x:c r="A45" s="74" t="s">
        <x:v>270</x:v>
      </x:c>
      <x:c r="B45" s="94"/>
      <x:c r="C45" s="74"/>
      <x:c r="D45" s="74"/>
      <x:c r="E45" s="74"/>
      <x:c r="F45" s="74"/>
      <x:c r="G45" s="74"/>
      <x:c r="H45" s="74"/>
      <x:c r="I45" s="105"/>
      <x:c r="J45" s="105"/>
      <x:c r="K45" s="105"/>
      <x:c r="L45" s="396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 s="105"/>
      <x:c r="AB45" s="105"/>
      <x:c r="AC45" s="105"/>
      <x:c r="AD45" s="105"/>
      <x:c r="AE45" s="105"/>
      <x:c r="AF45" s="105"/>
      <x:c r="AG45" s="105"/>
      <x:c r="AH45" s="105"/>
      <x:c r="AI45" s="105"/>
      <x:c r="AJ45" s="105"/>
      <x:c r="AK45" s="105"/>
      <x:c r="AL45" s="105"/>
      <x:c r="AM45" s="113"/>
      <x:c r="AN45" s="113"/>
      <x:c r="AO45" s="113"/>
      <x:c r="AP45" s="113"/>
      <x:c r="AQ45" s="113"/>
      <x:c r="AR45" s="113"/>
    </x:row>
    <x:row r="46" spans="1:45" ht="16.75">
      <x:c r="A46" s="1318" t="s">
        <x:v>76</x:v>
      </x:c>
      <x:c r="B46" s="537" t="s">
        <x:v>249</x:v>
      </x:c>
      <x:c r="C46" s="63" t="s">
        <x:v>246</x:v>
      </x:c>
      <x:c r="D46" s="474" t="s">
        <x:v>378</x:v>
      </x:c>
      <x:c r="E46" s="45"/>
      <x:c r="F46" s="45"/>
      <x:c r="G46" s="45"/>
      <x:c r="H46" s="45"/>
      <x:c r="I46" s="274"/>
      <x:c r="J46" s="307"/>
      <x:c r="K46" s="314" t="s">
        <x:v>106</x:v>
      </x:c>
      <x:c r="L46" s="153" t="s">
        <x:v>238</x:v>
      </x:c>
      <x:c r="M46" s="304"/>
      <x:c r="N46" s="274" t="s">
        <x:v>238</x:v>
      </x:c>
      <x:c r="O46" s="307"/>
      <x:c r="P46" s="307"/>
      <x:c r="Q46" s="593"/>
      <x:c r="R46" s="138"/>
      <x:c r="S46" s="665" t="s">
        <x:v>116</x:v>
      </x:c>
      <x:c r="T46" s="593" t="s">
        <x:v>56</x:v>
      </x:c>
      <x:c r="U46" s="145" t="s">
        <x:v>59</x:v>
      </x:c>
      <x:c r="V46" s="145" t="s">
        <x:v>303</x:v>
      </x:c>
      <x:c r="W46" s="138"/>
      <x:c r="X46" s="141"/>
      <x:c r="Y46" s="593"/>
      <x:c r="Z46" s="145"/>
      <x:c r="AA46" s="145"/>
      <x:c r="AB46" s="138"/>
      <x:c r="AC46" s="665"/>
      <x:c r="AD46" s="57"/>
      <x:c r="AE46" s="57"/>
      <x:c r="AF46" s="57"/>
      <x:c r="AG46" s="121" t="s">
        <x:v>77</x:v>
      </x:c>
      <x:c r="AH46" s="651"/>
      <x:c r="AI46" s="57"/>
      <x:c r="AJ46" s="57"/>
      <x:c r="AK46" s="57"/>
      <x:c r="AL46" s="149"/>
      <x:c r="AM46" s="1213" t="s">
        <x:v>435</x:v>
      </x:c>
      <x:c r="AN46" s="1214"/>
      <x:c r="AO46" s="1214"/>
      <x:c r="AP46" s="1214"/>
      <x:c r="AQ46" s="1214"/>
      <x:c r="AR46" s="1215"/>
      <x:c r="AS46" s="286" t="s">
        <x:v>43</x:v>
      </x:c>
    </x:row>
    <x:row r="47" spans="1:45">
      <x:c r="A47" s="1319"/>
      <x:c r="B47" s="72" t="s">
        <x:v>240</x:v>
      </x:c>
      <x:c r="C47" s="71" t="s">
        <x:v>218</x:v>
      </x:c>
      <x:c r="D47" s="53" t="s">
        <x:v>378</x:v>
      </x:c>
      <x:c r="E47" s="48"/>
      <x:c r="F47" s="48"/>
      <x:c r="G47" s="48"/>
      <x:c r="H47" s="48"/>
      <x:c r="I47" s="275"/>
      <x:c r="J47" s="306"/>
      <x:c r="K47" s="340" t="s">
        <x:v>106</x:v>
      </x:c>
      <x:c r="L47" s="154" t="s">
        <x:v>238</x:v>
      </x:c>
      <x:c r="M47" s="135"/>
      <x:c r="N47" s="275" t="s">
        <x:v>238</x:v>
      </x:c>
      <x:c r="O47" s="306"/>
      <x:c r="P47" s="306"/>
      <x:c r="Q47" s="306"/>
      <x:c r="R47" s="139"/>
      <x:c r="S47" s="142"/>
      <x:c r="T47" s="146"/>
      <x:c r="U47" s="146"/>
      <x:c r="V47" s="146" t="s">
        <x:v>303</x:v>
      </x:c>
      <x:c r="W47" s="139"/>
      <x:c r="X47" s="142"/>
      <x:c r="Y47" s="302"/>
      <x:c r="Z47" s="146"/>
      <x:c r="AA47" s="146"/>
      <x:c r="AB47" s="139"/>
      <x:c r="AC47" s="292"/>
      <x:c r="AD47" s="71"/>
      <x:c r="AE47" s="71"/>
      <x:c r="AF47" s="71"/>
      <x:c r="AG47" s="122" t="s">
        <x:v>77</x:v>
      </x:c>
      <x:c r="AH47" s="380"/>
      <x:c r="AI47" s="71"/>
      <x:c r="AJ47" s="71"/>
      <x:c r="AK47" s="71"/>
      <x:c r="AL47" s="150"/>
      <x:c r="AM47" s="1216" t="s">
        <x:v>435</x:v>
      </x:c>
      <x:c r="AN47" s="1217"/>
      <x:c r="AO47" s="1217"/>
      <x:c r="AP47" s="1217"/>
      <x:c r="AQ47" s="1217"/>
      <x:c r="AR47" s="1218"/>
      <x:c r="AS47" s="286" t="s">
        <x:v>43</x:v>
      </x:c>
    </x:row>
    <x:row r="48" spans="1:46">
      <x:c r="A48" s="1319"/>
      <x:c r="B48" s="53" t="s">
        <x:v>163</x:v>
      </x:c>
      <x:c r="C48" s="53" t="s">
        <x:v>221</x:v>
      </x:c>
      <x:c r="D48" s="166" t="s">
        <x:v>375</x:v>
      </x:c>
      <x:c r="E48" s="79"/>
      <x:c r="F48" s="79"/>
      <x:c r="G48" s="79"/>
      <x:c r="H48" s="79"/>
      <x:c r="I48" s="303" t="s">
        <x:v>103</x:v>
      </x:c>
      <x:c r="J48" s="306"/>
      <x:c r="K48" s="306"/>
      <x:c r="L48" s="306"/>
      <x:c r="M48" s="135"/>
      <x:c r="N48" s="275"/>
      <x:c r="O48" s="378" t="s">
        <x:v>92</x:v>
      </x:c>
      <x:c r="P48" s="306"/>
      <x:c r="Q48" s="378" t="s">
        <x:v>98</x:v>
      </x:c>
      <x:c r="R48" s="139"/>
      <x:c r="S48" s="292"/>
      <x:c r="T48" s="302"/>
      <x:c r="U48" s="302"/>
      <x:c r="V48" s="302"/>
      <x:c r="W48" s="139"/>
      <x:c r="X48" s="142"/>
      <x:c r="Y48" s="302"/>
      <x:c r="Z48" s="302"/>
      <x:c r="AA48" s="302"/>
      <x:c r="AB48" s="139"/>
      <x:c r="AC48" s="292"/>
      <x:c r="AD48" s="71"/>
      <x:c r="AE48" s="71"/>
      <x:c r="AF48" s="71"/>
      <x:c r="AG48" s="122" t="s">
        <x:v>77</x:v>
      </x:c>
      <x:c r="AH48" s="380"/>
      <x:c r="AI48" s="71"/>
      <x:c r="AJ48" s="71"/>
      <x:c r="AK48" s="71"/>
      <x:c r="AL48" s="150"/>
      <x:c r="AM48" s="1029"/>
      <x:c r="AN48" s="1030"/>
      <x:c r="AO48" s="1030"/>
      <x:c r="AP48" s="1030"/>
      <x:c r="AQ48" s="1030"/>
      <x:c r="AR48" s="1031"/>
      <x:c r="AS48" s="286" t="s">
        <x:v>43</x:v>
      </x:c>
      <x:c r="AT48" s="286" t="s">
        <x:v>145</x:v>
      </x:c>
    </x:row>
    <x:row r="49" spans="1:46">
      <x:c r="A49" s="1319"/>
      <x:c r="B49" s="72" t="s">
        <x:v>374</x:v>
      </x:c>
      <x:c r="C49" s="71" t="s">
        <x:v>218</x:v>
      </x:c>
      <x:c r="D49" s="166" t="s">
        <x:v>375</x:v>
      </x:c>
      <x:c r="E49" s="239"/>
      <x:c r="F49" s="48"/>
      <x:c r="G49" s="48"/>
      <x:c r="H49" s="48"/>
      <x:c r="I49" s="90"/>
      <x:c r="J49" s="72"/>
      <x:c r="K49" s="72"/>
      <x:c r="L49" s="306" t="s">
        <x:v>363</x:v>
      </x:c>
      <x:c r="M49" s="135"/>
      <x:c r="N49" s="275" t="s">
        <x:v>98</x:v>
      </x:c>
      <x:c r="O49" s="306"/>
      <x:c r="P49" s="306"/>
      <x:c r="Q49" s="306"/>
      <x:c r="R49" s="139"/>
      <x:c r="S49" s="292"/>
      <x:c r="T49" s="302"/>
      <x:c r="U49" s="302"/>
      <x:c r="V49" s="302" t="s">
        <x:v>303</x:v>
      </x:c>
      <x:c r="W49" s="139"/>
      <x:c r="X49" s="142" t="s">
        <x:v>120</x:v>
      </x:c>
      <x:c r="Y49" s="302"/>
      <x:c r="Z49" s="302"/>
      <x:c r="AA49" s="302"/>
      <x:c r="AB49" s="139"/>
      <x:c r="AC49" s="292" t="s">
        <x:v>150</x:v>
      </x:c>
      <x:c r="AD49" s="71"/>
      <x:c r="AE49" s="71"/>
      <x:c r="AF49" s="71"/>
      <x:c r="AG49" s="139"/>
      <x:c r="AH49" s="380"/>
      <x:c r="AI49" s="71"/>
      <x:c r="AJ49" s="71"/>
      <x:c r="AK49" s="71"/>
      <x:c r="AL49" s="150"/>
      <x:c r="AM49" s="1029" t="s">
        <x:v>19</x:v>
      </x:c>
      <x:c r="AN49" s="1030"/>
      <x:c r="AO49" s="1030"/>
      <x:c r="AP49" s="1030"/>
      <x:c r="AQ49" s="1030"/>
      <x:c r="AR49" s="1031"/>
      <x:c r="AS49" s="286" t="s">
        <x:v>43</x:v>
      </x:c>
      <x:c r="AT49" s="286"/>
    </x:row>
    <x:row r="50" spans="1:44">
      <x:c r="A50" s="1320"/>
      <x:c r="B50" s="72"/>
      <x:c r="C50" s="71"/>
      <x:c r="D50" s="53"/>
      <x:c r="E50" s="79"/>
      <x:c r="F50" s="79"/>
      <x:c r="G50" s="79"/>
      <x:c r="H50" s="79"/>
      <x:c r="I50" s="91"/>
      <x:c r="J50" s="308" t="s">
        <x:v>324</x:v>
      </x:c>
      <x:c r="K50" s="61"/>
      <x:c r="L50" s="61"/>
      <x:c r="M50" s="136"/>
      <x:c r="N50" s="91"/>
      <x:c r="O50" s="61"/>
      <x:c r="P50" s="61"/>
      <x:c r="Q50" s="61"/>
      <x:c r="R50" s="140"/>
      <x:c r="S50" s="114"/>
      <x:c r="T50" s="77"/>
      <x:c r="U50" s="77"/>
      <x:c r="V50" s="357" t="s">
        <x:v>49</x:v>
      </x:c>
      <x:c r="W50" s="140"/>
      <x:c r="X50" s="114"/>
      <x:c r="Y50" s="77"/>
      <x:c r="Z50" s="77"/>
      <x:c r="AA50" s="77"/>
      <x:c r="AB50" s="140"/>
      <x:c r="AC50" s="411" t="s">
        <x:v>216</x:v>
      </x:c>
      <x:c r="AD50" s="77"/>
      <x:c r="AE50" s="77"/>
      <x:c r="AF50" s="77"/>
      <x:c r="AG50" s="115"/>
      <x:c r="AH50" s="614"/>
      <x:c r="AI50" s="77"/>
      <x:c r="AJ50" s="77"/>
      <x:c r="AK50" s="77"/>
      <x:c r="AL50" s="151"/>
      <x:c r="AM50" s="1032"/>
      <x:c r="AN50" s="1033"/>
      <x:c r="AO50" s="1033"/>
      <x:c r="AP50" s="1033"/>
      <x:c r="AQ50" s="1033"/>
      <x:c r="AR50" s="1034"/>
    </x:row>
    <x:row r="51" spans="1:44" ht="16.75">
      <x:c r="A51" s="1320"/>
      <x:c r="B51" s="88"/>
      <x:c r="C51" s="80"/>
      <x:c r="D51" s="73"/>
      <x:c r="E51" s="49"/>
      <x:c r="F51" s="49"/>
      <x:c r="G51" s="49"/>
      <x:c r="H51" s="49"/>
      <x:c r="I51" s="116"/>
      <x:c r="J51" s="80"/>
      <x:c r="K51" s="80"/>
      <x:c r="L51" s="80"/>
      <x:c r="M51" s="137"/>
      <x:c r="N51" s="116"/>
      <x:c r="O51" s="80"/>
      <x:c r="P51" s="80"/>
      <x:c r="Q51" s="80"/>
      <x:c r="R51" s="137"/>
      <x:c r="S51" s="116"/>
      <x:c r="T51" s="80"/>
      <x:c r="U51" s="80"/>
      <x:c r="V51" s="311" t="s">
        <x:v>192</x:v>
      </x:c>
      <x:c r="W51" s="137"/>
      <x:c r="X51" s="116"/>
      <x:c r="Y51" s="80"/>
      <x:c r="Z51" s="80"/>
      <x:c r="AA51" s="311" t="s">
        <x:v>272</x:v>
      </x:c>
      <x:c r="AB51" s="137"/>
      <x:c r="AC51" s="823" t="s">
        <x:v>170</x:v>
      </x:c>
      <x:c r="AD51" s="80"/>
      <x:c r="AE51" s="80"/>
      <x:c r="AF51" s="80"/>
      <x:c r="AG51" s="117"/>
      <x:c r="AH51" s="697"/>
      <x:c r="AI51" s="80"/>
      <x:c r="AJ51" s="80"/>
      <x:c r="AK51" s="80"/>
      <x:c r="AL51" s="152"/>
      <x:c r="AM51" s="1035"/>
      <x:c r="AN51" s="1036"/>
      <x:c r="AO51" s="1036"/>
      <x:c r="AP51" s="1036"/>
      <x:c r="AQ51" s="1036"/>
      <x:c r="AR51" s="1037"/>
    </x:row>
    <x:row r="52" spans="1:44">
      <x:c r="A52" s="74" t="s">
        <x:v>270</x:v>
      </x:c>
      <x:c r="B52" s="367"/>
      <x:c r="C52" s="216"/>
      <x:c r="D52" s="216"/>
      <x:c r="E52" s="74"/>
      <x:c r="F52" s="74"/>
      <x:c r="G52" s="74"/>
      <x:c r="H52" s="74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  <x:c r="V52" s="105"/>
      <x:c r="W52" s="105"/>
      <x:c r="X52" s="105"/>
      <x:c r="Y52" s="105"/>
      <x:c r="Z52" s="105"/>
      <x:c r="AA52" s="105"/>
      <x:c r="AB52" s="105"/>
      <x:c r="AC52" s="105"/>
      <x:c r="AD52" s="105"/>
      <x:c r="AE52" s="105"/>
      <x:c r="AF52" s="105"/>
      <x:c r="AG52" s="105"/>
      <x:c r="AH52" s="105"/>
      <x:c r="AI52" s="105"/>
      <x:c r="AJ52" s="105"/>
      <x:c r="AK52" s="105"/>
      <x:c r="AL52" s="105"/>
      <x:c r="AM52" s="113"/>
      <x:c r="AN52" s="113"/>
      <x:c r="AO52" s="113"/>
      <x:c r="AP52" s="113"/>
      <x:c r="AQ52" s="113"/>
      <x:c r="AR52" s="113"/>
    </x:row>
    <x:row r="53" spans="1:44" ht="16.75" customHeight="1">
      <x:c r="A53" s="1318" t="s">
        <x:v>129</x:v>
      </x:c>
      <x:c r="B53" s="322"/>
      <x:c r="C53" s="63"/>
      <x:c r="D53" s="241"/>
      <x:c r="E53" s="238"/>
      <x:c r="F53" s="45"/>
      <x:c r="G53" s="45"/>
      <x:c r="H53" s="45"/>
      <x:c r="I53" s="312"/>
      <x:c r="J53" s="307"/>
      <x:c r="K53" s="307"/>
      <x:c r="L53" s="307"/>
      <x:c r="M53" s="134"/>
      <x:c r="N53" s="669"/>
      <x:c r="O53" s="266"/>
      <x:c r="P53" s="266"/>
      <x:c r="Q53" s="635"/>
      <x:c r="R53" s="138"/>
      <x:c r="S53" s="1329" t="s">
        <x:v>27</x:v>
      </x:c>
      <x:c r="T53" s="1330"/>
      <x:c r="U53" s="1330"/>
      <x:c r="V53" s="1330"/>
      <x:c r="W53" s="1331"/>
      <x:c r="X53" s="1144" t="s">
        <x:v>27</x:v>
      </x:c>
      <x:c r="Y53" s="1145"/>
      <x:c r="Z53" s="1145"/>
      <x:c r="AA53" s="1145"/>
      <x:c r="AB53" s="1146"/>
      <x:c r="AC53" s="1144" t="s">
        <x:v>27</x:v>
      </x:c>
      <x:c r="AD53" s="1145"/>
      <x:c r="AE53" s="1145"/>
      <x:c r="AF53" s="1145"/>
      <x:c r="AG53" s="1146"/>
      <x:c r="AH53" s="1144" t="s">
        <x:v>27</x:v>
      </x:c>
      <x:c r="AI53" s="1145"/>
      <x:c r="AJ53" s="1145"/>
      <x:c r="AK53" s="1145"/>
      <x:c r="AL53" s="1146"/>
      <x:c r="AM53" s="1311"/>
      <x:c r="AN53" s="1312"/>
      <x:c r="AO53" s="1312"/>
      <x:c r="AP53" s="1312"/>
      <x:c r="AQ53" s="1312"/>
      <x:c r="AR53" s="1313"/>
    </x:row>
    <x:row r="54" spans="1:44">
      <x:c r="A54" s="1319"/>
      <x:c r="B54" s="252"/>
      <x:c r="C54" s="53"/>
      <x:c r="D54" s="166"/>
      <x:c r="E54" s="239"/>
      <x:c r="F54" s="48"/>
      <x:c r="G54" s="48"/>
      <x:c r="H54" s="48"/>
      <x:c r="I54" s="288"/>
      <x:c r="J54" s="306"/>
      <x:c r="K54" s="340"/>
      <x:c r="L54" s="306"/>
      <x:c r="M54" s="135"/>
      <x:c r="N54" s="473"/>
      <x:c r="O54" s="173"/>
      <x:c r="P54" s="173"/>
      <x:c r="Q54" s="385"/>
      <x:c r="R54" s="139"/>
      <x:c r="S54" s="1332"/>
      <x:c r="T54" s="1333"/>
      <x:c r="U54" s="1333"/>
      <x:c r="V54" s="1333"/>
      <x:c r="W54" s="1334"/>
      <x:c r="X54" s="1147"/>
      <x:c r="Y54" s="1148"/>
      <x:c r="Z54" s="1148"/>
      <x:c r="AA54" s="1148"/>
      <x:c r="AB54" s="1149"/>
      <x:c r="AC54" s="1147"/>
      <x:c r="AD54" s="1148"/>
      <x:c r="AE54" s="1148"/>
      <x:c r="AF54" s="1148"/>
      <x:c r="AG54" s="1149"/>
      <x:c r="AH54" s="1147"/>
      <x:c r="AI54" s="1148"/>
      <x:c r="AJ54" s="1148"/>
      <x:c r="AK54" s="1148"/>
      <x:c r="AL54" s="1149"/>
      <x:c r="AM54" s="1308"/>
      <x:c r="AN54" s="1309"/>
      <x:c r="AO54" s="1309"/>
      <x:c r="AP54" s="1309"/>
      <x:c r="AQ54" s="1309"/>
      <x:c r="AR54" s="1310"/>
    </x:row>
    <x:row r="55" spans="1:46">
      <x:c r="A55" s="1319"/>
      <x:c r="B55" s="201"/>
      <x:c r="C55" s="71"/>
      <x:c r="D55" s="166"/>
      <x:c r="E55" s="239"/>
      <x:c r="F55" s="48"/>
      <x:c r="G55" s="48"/>
      <x:c r="H55" s="48"/>
      <x:c r="I55" s="90"/>
      <x:c r="J55" s="72"/>
      <x:c r="K55" s="72"/>
      <x:c r="L55" s="306"/>
      <x:c r="M55" s="135"/>
      <x:c r="N55" s="473"/>
      <x:c r="O55" s="173"/>
      <x:c r="P55" s="173"/>
      <x:c r="Q55" s="173"/>
      <x:c r="R55" s="139"/>
      <x:c r="S55" s="1332"/>
      <x:c r="T55" s="1333"/>
      <x:c r="U55" s="1333"/>
      <x:c r="V55" s="1333"/>
      <x:c r="W55" s="1334"/>
      <x:c r="X55" s="1147"/>
      <x:c r="Y55" s="1148"/>
      <x:c r="Z55" s="1148"/>
      <x:c r="AA55" s="1148"/>
      <x:c r="AB55" s="1149"/>
      <x:c r="AC55" s="1147"/>
      <x:c r="AD55" s="1148"/>
      <x:c r="AE55" s="1148"/>
      <x:c r="AF55" s="1148"/>
      <x:c r="AG55" s="1149"/>
      <x:c r="AH55" s="1147"/>
      <x:c r="AI55" s="1148"/>
      <x:c r="AJ55" s="1148"/>
      <x:c r="AK55" s="1148"/>
      <x:c r="AL55" s="1149"/>
      <x:c r="AM55" s="1029"/>
      <x:c r="AN55" s="1030"/>
      <x:c r="AO55" s="1030"/>
      <x:c r="AP55" s="1030"/>
      <x:c r="AQ55" s="1030"/>
      <x:c r="AR55" s="1031"/>
      <x:c r="AS55" s="455"/>
      <x:c r="AT55" s="455"/>
    </x:row>
    <x:row r="56" spans="1:44">
      <x:c r="A56" s="1319"/>
      <x:c r="B56" s="201"/>
      <x:c r="C56" s="71"/>
      <x:c r="D56" s="166"/>
      <x:c r="E56" s="130"/>
      <x:c r="F56" s="79"/>
      <x:c r="G56" s="79"/>
      <x:c r="H56" s="79"/>
      <x:c r="I56" s="90"/>
      <x:c r="J56" s="72"/>
      <x:c r="K56" s="154" t="s">
        <x:v>157</x:v>
      </x:c>
      <x:c r="L56" s="306" t="s">
        <x:v>355</x:v>
      </x:c>
      <x:c r="M56" s="135"/>
      <x:c r="N56" s="90"/>
      <x:c r="O56" s="72"/>
      <x:c r="P56" s="72"/>
      <x:c r="Q56" s="306" t="s">
        <x:v>363</x:v>
      </x:c>
      <x:c r="R56" s="139"/>
      <x:c r="S56" s="1332"/>
      <x:c r="T56" s="1333"/>
      <x:c r="U56" s="1333"/>
      <x:c r="V56" s="1333"/>
      <x:c r="W56" s="1334"/>
      <x:c r="X56" s="1147"/>
      <x:c r="Y56" s="1148"/>
      <x:c r="Z56" s="1148"/>
      <x:c r="AA56" s="1148"/>
      <x:c r="AB56" s="1149"/>
      <x:c r="AC56" s="1147"/>
      <x:c r="AD56" s="1148"/>
      <x:c r="AE56" s="1148"/>
      <x:c r="AF56" s="1148"/>
      <x:c r="AG56" s="1149"/>
      <x:c r="AH56" s="1147"/>
      <x:c r="AI56" s="1148"/>
      <x:c r="AJ56" s="1148"/>
      <x:c r="AK56" s="1148"/>
      <x:c r="AL56" s="1149"/>
      <x:c r="AM56" s="1029"/>
      <x:c r="AN56" s="1030"/>
      <x:c r="AO56" s="1030"/>
      <x:c r="AP56" s="1030"/>
      <x:c r="AQ56" s="1030"/>
      <x:c r="AR56" s="1031"/>
    </x:row>
    <x:row r="57" spans="1:44">
      <x:c r="A57" s="1320"/>
      <x:c r="B57" s="201"/>
      <x:c r="C57" s="71"/>
      <x:c r="D57" s="166"/>
      <x:c r="E57" s="130"/>
      <x:c r="F57" s="79"/>
      <x:c r="G57" s="79"/>
      <x:c r="H57" s="79"/>
      <x:c r="I57" s="91"/>
      <x:c r="J57" s="61"/>
      <x:c r="K57" s="61"/>
      <x:c r="L57" s="61"/>
      <x:c r="M57" s="136"/>
      <x:c r="N57" s="91"/>
      <x:c r="O57" s="61"/>
      <x:c r="P57" s="61"/>
      <x:c r="Q57" s="308" t="s">
        <x:v>342</x:v>
      </x:c>
      <x:c r="R57" s="140"/>
      <x:c r="S57" s="1332"/>
      <x:c r="T57" s="1333"/>
      <x:c r="U57" s="1333"/>
      <x:c r="V57" s="1333"/>
      <x:c r="W57" s="1334"/>
      <x:c r="X57" s="1147"/>
      <x:c r="Y57" s="1148"/>
      <x:c r="Z57" s="1148"/>
      <x:c r="AA57" s="1148"/>
      <x:c r="AB57" s="1149"/>
      <x:c r="AC57" s="1147"/>
      <x:c r="AD57" s="1148"/>
      <x:c r="AE57" s="1148"/>
      <x:c r="AF57" s="1148"/>
      <x:c r="AG57" s="1149"/>
      <x:c r="AH57" s="1147"/>
      <x:c r="AI57" s="1148"/>
      <x:c r="AJ57" s="1148"/>
      <x:c r="AK57" s="1148"/>
      <x:c r="AL57" s="1149"/>
      <x:c r="AM57" s="1029"/>
      <x:c r="AN57" s="1030"/>
      <x:c r="AO57" s="1030"/>
      <x:c r="AP57" s="1030"/>
      <x:c r="AQ57" s="1030"/>
      <x:c r="AR57" s="1031"/>
    </x:row>
    <x:row r="58" spans="1:44" ht="16.75">
      <x:c r="A58" s="1320"/>
      <x:c r="B58" s="201"/>
      <x:c r="C58" s="71"/>
      <x:c r="D58" s="166"/>
      <x:c r="E58" s="240"/>
      <x:c r="F58" s="49"/>
      <x:c r="G58" s="49"/>
      <x:c r="H58" s="49"/>
      <x:c r="I58" s="116"/>
      <x:c r="J58" s="80"/>
      <x:c r="K58" s="80"/>
      <x:c r="L58" s="80"/>
      <x:c r="M58" s="137"/>
      <x:c r="N58" s="116"/>
      <x:c r="O58" s="80"/>
      <x:c r="P58" s="80"/>
      <x:c r="Q58" s="311" t="s">
        <x:v>397</x:v>
      </x:c>
      <x:c r="R58" s="137"/>
      <x:c r="S58" s="1335"/>
      <x:c r="T58" s="1336"/>
      <x:c r="U58" s="1336"/>
      <x:c r="V58" s="1336"/>
      <x:c r="W58" s="1337"/>
      <x:c r="X58" s="1147"/>
      <x:c r="Y58" s="1148"/>
      <x:c r="Z58" s="1148"/>
      <x:c r="AA58" s="1148"/>
      <x:c r="AB58" s="1149"/>
      <x:c r="AC58" s="1147"/>
      <x:c r="AD58" s="1148"/>
      <x:c r="AE58" s="1148"/>
      <x:c r="AF58" s="1148"/>
      <x:c r="AG58" s="1149"/>
      <x:c r="AH58" s="1147"/>
      <x:c r="AI58" s="1148"/>
      <x:c r="AJ58" s="1148"/>
      <x:c r="AK58" s="1148"/>
      <x:c r="AL58" s="1149"/>
      <x:c r="AM58" s="1029"/>
      <x:c r="AN58" s="1030"/>
      <x:c r="AO58" s="1030"/>
      <x:c r="AP58" s="1030"/>
      <x:c r="AQ58" s="1030"/>
      <x:c r="AR58" s="1031"/>
    </x:row>
    <x:row r="59" spans="1:44" ht="16.75">
      <x:c r="A59" s="985"/>
      <x:c r="B59" s="295"/>
      <x:c r="C59" s="68"/>
      <x:c r="D59" s="243"/>
      <x:c r="E59" s="235"/>
      <x:c r="F59" s="235"/>
      <x:c r="G59" s="235"/>
      <x:c r="H59" s="235"/>
      <x:c r="I59" s="235"/>
      <x:c r="J59" s="235"/>
      <x:c r="K59" s="235"/>
      <x:c r="L59" s="235"/>
      <x:c r="M59" s="235"/>
      <x:c r="N59" s="235"/>
      <x:c r="O59" s="235"/>
      <x:c r="P59" s="235"/>
      <x:c r="Q59" s="235"/>
      <x:c r="R59" s="235"/>
      <x:c r="S59" s="235"/>
      <x:c r="T59" s="235"/>
      <x:c r="U59" s="235"/>
      <x:c r="V59" s="235"/>
      <x:c r="W59" s="235"/>
      <x:c r="X59" s="1150"/>
      <x:c r="Y59" s="1151"/>
      <x:c r="Z59" s="1151"/>
      <x:c r="AA59" s="1151"/>
      <x:c r="AB59" s="1152"/>
      <x:c r="AC59" s="1150"/>
      <x:c r="AD59" s="1151"/>
      <x:c r="AE59" s="1151"/>
      <x:c r="AF59" s="1151"/>
      <x:c r="AG59" s="1152"/>
      <x:c r="AH59" s="1150"/>
      <x:c r="AI59" s="1151"/>
      <x:c r="AJ59" s="1151"/>
      <x:c r="AK59" s="1151"/>
      <x:c r="AL59" s="1152"/>
      <x:c r="AM59" s="1111"/>
      <x:c r="AN59" s="1112"/>
      <x:c r="AO59" s="1112"/>
      <x:c r="AP59" s="1112"/>
      <x:c r="AQ59" s="1112"/>
      <x:c r="AR59" s="1113"/>
    </x:row>
    <x:row r="60" spans="1:44" s="452" customFormat="1">
      <x:c r="A60" s="74"/>
      <x:c r="B60" s="9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872"/>
      <x:c r="Y60" s="872"/>
      <x:c r="Z60" s="872"/>
      <x:c r="AA60" s="872"/>
      <x:c r="AB60" s="872"/>
      <x:c r="AC60" s="872"/>
      <x:c r="AD60" s="872"/>
      <x:c r="AE60" s="872"/>
      <x:c r="AF60" s="872"/>
      <x:c r="AG60" s="872"/>
      <x:c r="AH60" s="872"/>
      <x:c r="AI60" s="872"/>
      <x:c r="AJ60" s="872"/>
      <x:c r="AK60" s="872"/>
      <x:c r="AL60" s="872"/>
      <x:c r="AM60" s="113"/>
      <x:c r="AN60" s="113"/>
      <x:c r="AO60" s="113"/>
      <x:c r="AP60" s="113"/>
      <x:c r="AQ60" s="113"/>
      <x:c r="AR60" s="113"/>
    </x:row>
    <x:row r="61" spans="1:44">
      <x:c r="A61" s="1021" t="s">
        <x:v>189</x:v>
      </x:c>
      <x:c r="B61" s="1021">
        <x:f>COUNTA(B5:$B$58)</x:f>
        <x:v>20</x:v>
      </x:c>
      <x:c r="C61" s="43"/>
      <x:c r="D61" s="1021"/>
      <x:c r="E61" s="1021">
        <x:f>COUNTIF(E4:E51,"=y")</x:f>
        <x:v>0</x:v>
      </x:c>
      <x:c r="F61" s="1021">
        <x:f>COUNTIF(F4:F51,"=y")</x:f>
        <x:v>0</x:v>
      </x:c>
      <x:c r="G61" s="1021">
        <x:f>COUNTIF(G4:G51,"=y")</x:f>
        <x:v>0</x:v>
      </x:c>
      <x:c r="H61" s="1021">
        <x:f>COUNTIF(H4:H51,"=y")</x:f>
        <x:v>0</x:v>
      </x:c>
      <x:c r="I61" s="1020"/>
      <x:c r="J61" s="1020"/>
      <x:c r="K61" s="1020"/>
      <x:c r="L61" s="1020"/>
      <x:c r="M61" s="1020"/>
      <x:c r="N61" s="1020"/>
      <x:c r="O61" s="1020"/>
      <x:c r="P61" s="1020"/>
      <x:c r="Q61" s="1020"/>
      <x:c r="R61" s="1020"/>
      <x:c r="S61" s="1020"/>
      <x:c r="T61" s="1020"/>
      <x:c r="U61" s="1020"/>
      <x:c r="V61" s="1020"/>
      <x:c r="W61" s="1020"/>
      <x:c r="X61" s="1020"/>
      <x:c r="Y61" s="1020"/>
      <x:c r="Z61" s="1020"/>
      <x:c r="AA61" s="1020"/>
      <x:c r="AB61" s="1020"/>
      <x:c r="AC61" s="1020"/>
      <x:c r="AD61" s="1020"/>
      <x:c r="AE61" s="1020"/>
      <x:c r="AF61" s="1020"/>
      <x:c r="AG61" s="1020"/>
      <x:c r="AH61" s="1020"/>
      <x:c r="AI61" s="1020"/>
      <x:c r="AJ61" s="1020"/>
      <x:c r="AK61" s="1020"/>
      <x:c r="AL61" s="1020"/>
      <x:c r="AM61" s="113"/>
      <x:c r="AN61" s="113"/>
      <x:c r="AO61" s="113"/>
      <x:c r="AP61" s="113"/>
      <x:c r="AQ61" s="113"/>
      <x:c r="AR61" s="113"/>
    </x:row>
    <x:row r="62" spans="1:44">
      <x:c r="A62" s="1021"/>
      <x:c r="B62" s="1021"/>
      <x:c r="C62" s="43"/>
      <x:c r="D62" s="1021"/>
      <x:c r="E62" s="1021"/>
      <x:c r="F62" s="1021"/>
      <x:c r="G62" s="1021"/>
      <x:c r="H62" s="1021"/>
      <x:c r="I62" s="1020"/>
      <x:c r="J62" s="1020"/>
      <x:c r="K62" s="1020"/>
      <x:c r="L62" s="1020"/>
      <x:c r="M62" s="1020"/>
      <x:c r="N62" s="1020"/>
      <x:c r="O62" s="1020"/>
      <x:c r="P62" s="1020"/>
      <x:c r="Q62" s="1020"/>
      <x:c r="R62" s="1020"/>
      <x:c r="S62" s="1020"/>
      <x:c r="T62" s="1020"/>
      <x:c r="U62" s="1020"/>
      <x:c r="V62" s="1020"/>
      <x:c r="W62" s="1020"/>
      <x:c r="X62" s="1020"/>
      <x:c r="Y62" s="1020"/>
      <x:c r="Z62" s="1020"/>
      <x:c r="AA62" s="1020"/>
      <x:c r="AB62" s="1020"/>
      <x:c r="AC62" s="1020"/>
      <x:c r="AD62" s="1020"/>
      <x:c r="AE62" s="1020"/>
      <x:c r="AF62" s="1020"/>
      <x:c r="AG62" s="1020"/>
      <x:c r="AH62" s="1020"/>
      <x:c r="AI62" s="1020"/>
      <x:c r="AJ62" s="1020"/>
      <x:c r="AK62" s="1020"/>
      <x:c r="AL62" s="1020"/>
      <x:c r="AM62" s="113"/>
      <x:c r="AN62" s="113"/>
      <x:c r="AO62" s="113"/>
      <x:c r="AP62" s="113"/>
      <x:c r="AQ62" s="113"/>
      <x:c r="AR62" s="113"/>
    </x:row>
  </x:sheetData>
  <x:mergeCells count="114">
    <x:mergeCell ref="AL61:AL62"/>
    <x:mergeCell ref="AF61:AF62"/>
    <x:mergeCell ref="AG61:AG62"/>
    <x:mergeCell ref="AH61:AH62"/>
    <x:mergeCell ref="AI61:AI62"/>
    <x:mergeCell ref="AJ61:AJ62"/>
    <x:mergeCell ref="AK61:AK62"/>
    <x:mergeCell ref="Z61:Z62"/>
    <x:mergeCell ref="AA61:AA62"/>
    <x:mergeCell ref="AB61:AB62"/>
    <x:mergeCell ref="AC61:AC62"/>
    <x:mergeCell ref="AD61:AD62"/>
    <x:mergeCell ref="AE61:AE62"/>
    <x:mergeCell ref="T61:T62"/>
    <x:mergeCell ref="U61:U62"/>
    <x:mergeCell ref="V61:V62"/>
    <x:mergeCell ref="W61:W62"/>
    <x:mergeCell ref="X61:X62"/>
    <x:mergeCell ref="Y61:Y62"/>
    <x:mergeCell ref="N61:N62"/>
    <x:mergeCell ref="O61:O62"/>
    <x:mergeCell ref="P61:P62"/>
    <x:mergeCell ref="Q61:Q62"/>
    <x:mergeCell ref="R61:R62"/>
    <x:mergeCell ref="S61:S62"/>
    <x:mergeCell ref="H61:H62"/>
    <x:mergeCell ref="I61:I62"/>
    <x:mergeCell ref="J61:J62"/>
    <x:mergeCell ref="K61:K62"/>
    <x:mergeCell ref="L61:L62"/>
    <x:mergeCell ref="M61:M62"/>
    <x:mergeCell ref="A61:A62"/>
    <x:mergeCell ref="B61:B62"/>
    <x:mergeCell ref="D61:D62"/>
    <x:mergeCell ref="E61:E62"/>
    <x:mergeCell ref="F61:F62"/>
    <x:mergeCell ref="G61:G62"/>
    <x:mergeCell ref="AM55:AR55"/>
    <x:mergeCell ref="AM56:AR56"/>
    <x:mergeCell ref="AM57:AR57"/>
    <x:mergeCell ref="AM58:AR58"/>
    <x:mergeCell ref="AM50:AR50"/>
    <x:mergeCell ref="AM51:AR51"/>
    <x:mergeCell ref="A30:A36"/>
    <x:mergeCell ref="AM30:AR30"/>
    <x:mergeCell ref="AM23:AR23"/>
    <x:mergeCell ref="AM27:AR27"/>
    <x:mergeCell ref="A1:M1"/>
    <x:mergeCell ref="N1:Q1"/>
    <x:mergeCell ref="R1:V1"/>
    <x:mergeCell ref="W1:AA1"/>
    <x:mergeCell ref="AB1:AM1"/>
    <x:mergeCell ref="AN1:AR1"/>
    <x:mergeCell ref="AM6:AR6"/>
    <x:mergeCell ref="AM11:AR11"/>
    <x:mergeCell ref="C2:C4"/>
    <x:mergeCell ref="D2:D4"/>
    <x:mergeCell ref="I2:AL2"/>
    <x:mergeCell ref="AM2:AR4"/>
    <x:mergeCell ref="I3:M3"/>
    <x:mergeCell ref="N3:R3"/>
    <x:mergeCell ref="S3:W3"/>
    <x:mergeCell ref="X3:AB3"/>
    <x:mergeCell ref="AC3:AG3"/>
    <x:mergeCell ref="AH3:AL3"/>
    <x:mergeCell ref="A2:A4"/>
    <x:mergeCell ref="B2:B4"/>
    <x:mergeCell ref="A15:AR20"/>
    <x:mergeCell ref="AM22:AR22"/>
    <x:mergeCell ref="AM26:AR26"/>
    <x:mergeCell ref="AM32:AR32"/>
    <x:mergeCell ref="AM31:AR31"/>
    <x:mergeCell ref="AM33:AR33"/>
    <x:mergeCell ref="AM34:AR34"/>
    <x:mergeCell ref="AM28:AR28"/>
    <x:mergeCell ref="AM44:AR44"/>
    <x:mergeCell ref="AM42:AR42"/>
    <x:mergeCell ref="AM43:AR43"/>
    <x:mergeCell ref="AM10:AR10"/>
    <x:mergeCell ref="AM54:AR54"/>
    <x:mergeCell ref="AM46:AR46"/>
    <x:mergeCell ref="AM48:AR48"/>
    <x:mergeCell ref="AM47:AR47"/>
    <x:mergeCell ref="AM53:AR53"/>
    <x:mergeCell ref="AM49:AR49"/>
    <x:mergeCell ref="AM24:AR24"/>
    <x:mergeCell ref="AM25:AR25"/>
    <x:mergeCell ref="M10:O10"/>
    <x:mergeCell ref="AM41:AR41"/>
    <x:mergeCell ref="AM38:AR38"/>
    <x:mergeCell ref="AM39:AR39"/>
    <x:mergeCell ref="AM40:AR40"/>
    <x:mergeCell ref="A38:A43"/>
    <x:mergeCell ref="A46:A51"/>
    <x:mergeCell ref="A53:A58"/>
    <x:mergeCell ref="AM35:AR35"/>
    <x:mergeCell ref="A22:A28"/>
    <x:mergeCell ref="AM12:AR12"/>
    <x:mergeCell ref="A6:A11"/>
    <x:mergeCell ref="AM13:AR13"/>
    <x:mergeCell ref="A12:A13"/>
    <x:mergeCell ref="S38:W44"/>
    <x:mergeCell ref="S53:W58"/>
    <x:mergeCell ref="X38:AB44"/>
    <x:mergeCell ref="X53:AB59"/>
    <x:mergeCell ref="AC38:AG44"/>
    <x:mergeCell ref="AC53:AG59"/>
    <x:mergeCell ref="AM9:AR9"/>
    <x:mergeCell ref="AM8:AR8"/>
    <x:mergeCell ref="AM7:AR7"/>
    <x:mergeCell ref="M9:O9"/>
    <x:mergeCell ref="AH38:AL44"/>
    <x:mergeCell ref="AH53:AL59"/>
    <x:mergeCell ref="AM59:AR59"/>
  </x:mergeCells>
  <x:conditionalFormatting sqref="E42:H43">
    <x:cfRule type="containsText" dxfId="15" priority="35" stopIfTrue="1" operator="containsText" text="N">
      <x:formula>NOT(ISERROR(FIND(UPPER("N"),UPPER(E42))))</x:formula>
      <x:formula>"N"</x:formula>
    </x:cfRule>
  </x:conditionalFormatting>
  <x:conditionalFormatting sqref="E53:H58">
    <x:cfRule type="containsText" dxfId="13" priority="34" stopIfTrue="1" operator="containsText" text="N">
      <x:formula>NOT(ISERROR(FIND(UPPER("N"),UPPER(E53))))</x:formula>
      <x:formula>"N"</x:formula>
    </x:cfRule>
  </x:conditionalFormatting>
  <x:conditionalFormatting sqref="E30:F30 E31:H34">
    <x:cfRule type="containsText" dxfId="16" priority="33" stopIfTrue="1" operator="containsText" text="N">
      <x:formula>NOT(ISERROR(FIND(UPPER("N"),UPPER(E30))))</x:formula>
      <x:formula>"N"</x:formula>
    </x:cfRule>
  </x:conditionalFormatting>
  <x:conditionalFormatting sqref="E22:F22 E23:H23 E26:H27">
    <x:cfRule type="containsText" dxfId="17" priority="32" stopIfTrue="1" operator="containsText" text="N">
      <x:formula>NOT(ISERROR(FIND(UPPER("N"),UPPER(E22))))</x:formula>
      <x:formula>"N"</x:formula>
    </x:cfRule>
  </x:conditionalFormatting>
  <x:conditionalFormatting sqref="E50:H51">
    <x:cfRule type="containsText" dxfId="14" priority="29" stopIfTrue="1" operator="containsText" text="N">
      <x:formula>NOT(ISERROR(FIND(UPPER("N"),UPPER(E50))))</x:formula>
      <x:formula>"N"</x:formula>
    </x:cfRule>
  </x:conditionalFormatting>
  <x:conditionalFormatting sqref="I23:M24 I25:Q27 E24:H25 I11:L11 P11:Q11 U49:U49 S49:S49 E49:Q49 I47:Q48 I50:Q51 U47:U47 S46:S47 I46:M46 Q46:Q46 E46:H48 I32:Q34 I42:Q43 I14:I14 I6:L6 Q53:S53 I54:M54 I55:Q58 Q54:Q54 U32:U32 S31:S32 Q30:S30 I31:M31 Q31:Q31 S23:S23 R22:S22 Q6:S6">
    <x:cfRule type="containsText" dxfId="12" priority="7" stopIfTrue="1" operator="containsText" text="N">
      <x:formula>NOT(ISERROR(FIND(UPPER("N"),UPPER(E6))))</x:formula>
      <x:formula>"N"</x:formula>
    </x:cfRule>
  </x:conditionalFormatting>
  <x:conditionalFormatting sqref="I10:L10 P10:Q10">
    <x:cfRule type="containsText" dxfId="12" priority="5" stopIfTrue="1" operator="containsText" text="N">
      <x:formula>NOT(ISERROR(FIND(UPPER("N"),UPPER(I10))))</x:formula>
      <x:formula>"N"</x:formula>
    </x:cfRule>
  </x:conditionalFormatting>
  <x:conditionalFormatting sqref="E41:Q41">
    <x:cfRule type="containsText" dxfId="12" priority="4" stopIfTrue="1" operator="containsText" text="N">
      <x:formula>NOT(ISERROR(FIND(UPPER("N"),UPPER(E41))))</x:formula>
      <x:formula>"N"</x:formula>
    </x:cfRule>
  </x:conditionalFormatting>
  <x:conditionalFormatting sqref="E38:Q40">
    <x:cfRule type="containsText" dxfId="12" priority="3" stopIfTrue="1" operator="containsText" text="N">
      <x:formula>NOT(ISERROR(FIND(UPPER("N"),UPPER(E38))))</x:formula>
      <x:formula>"N"</x:formula>
    </x:cfRule>
  </x:conditionalFormatting>
  <x:conditionalFormatting sqref="I35:Q35">
    <x:cfRule type="containsText" dxfId="12" priority="2" stopIfTrue="1" operator="containsText" text="N">
      <x:formula>NOT(ISERROR(FIND(UPPER("N"),UPPER(I35))))</x:formula>
      <x:formula>"N"</x:formula>
    </x:cfRule>
  </x:conditionalFormatting>
  <x:conditionalFormatting sqref="I8:L9 P8:Q9 E7:E7 I7:Q7">
    <x:cfRule type="containsText" dxfId="12" priority="1" stopIfTrue="1" operator="containsText" text="N">
      <x:formula>NOT(ISERROR(FIND(UPPER("N"),UPPER(E7))))</x:formula>
      <x:formula>"N"</x:formula>
    </x:cfRule>
  </x:conditionalFormatting>
  <x:pageMargins left="0.69972223043441772" right="0.69972223043441772" top="0.75" bottom="0.75" header="0.30000001192092896" footer="0.30000001192092896"/>
  <x:pageSetup paperSize="9" scale="57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 filterMode="1"/>
  <x:dimension ref="A1:K107"/>
  <x:sheetViews>
    <x:sheetView topLeftCell="A1" zoomScaleNormal="100" zoomScaleSheetLayoutView="75" workbookViewId="0">
      <x:selection activeCell="B8" activeCellId="0" sqref="B8:B8"/>
    </x:sheetView>
  </x:sheetViews>
  <x:sheetFormatPr defaultColWidth="9.00390625" defaultRowHeight="16.399999999999999"/>
  <x:cols>
    <x:col min="1" max="1" width="9.00390625" style="36" bestFit="1" customWidth="1"/>
    <x:col min="6" max="6" width="9.00390625" style="27" bestFit="1" customWidth="1"/>
    <x:col min="10" max="10" width="9.00390625" style="18" customWidth="1"/>
  </x:cols>
  <x:sheetData>
    <x:row r="1" spans="1:11">
      <x:c r="A1" s="278" t="s">
        <x:v>203</x:v>
      </x:c>
      <x:c r="B1" s="278" t="s">
        <x:v>384</x:v>
      </x:c>
      <x:c r="C1" s="278" t="s">
        <x:v>164</x:v>
      </x:c>
      <x:c r="D1" s="278" t="s">
        <x:v>398</x:v>
      </x:c>
      <x:c r="E1" s="278"/>
      <x:c r="F1" s="27" t="s">
        <x:v>203</x:v>
      </x:c>
      <x:c r="G1" s="27" t="s">
        <x:v>384</x:v>
      </x:c>
      <x:c r="H1" s="27" t="s">
        <x:v>164</x:v>
      </x:c>
      <x:c r="I1" s="27" t="s">
        <x:v>398</x:v>
      </x:c>
      <x:c r="K1" s="19" t="s">
        <x:v>142</x:v>
      </x:c>
    </x:row>
    <x:row r="2" spans="1:4" ht="16.75">
      <x:c r="A2" s="36">
        <x:v>1</x:v>
      </x:c>
      <x:c r="B2" s="609" t="s">
        <x:v>379</x:v>
      </x:c>
      <x:c r="C2" s="609" t="s">
        <x:v>172</x:v>
      </x:c>
      <x:c r="D2" s="610" t="s">
        <x:v>375</x:v>
      </x:c>
    </x:row>
    <x:row r="3" spans="1:4">
      <x:c r="A3" s="36">
        <x:v>2</x:v>
      </x:c>
      <x:c r="B3" s="50" t="s">
        <x:v>185</x:v>
      </x:c>
      <x:c r="C3" s="50" t="s">
        <x:v>367</x:v>
      </x:c>
      <x:c r="D3" s="611" t="s">
        <x:v>378</x:v>
      </x:c>
    </x:row>
    <x:row r="4" spans="1:4">
      <x:c r="A4" s="36">
        <x:v>3</x:v>
      </x:c>
      <x:c r="B4" s="705" t="s">
        <x:v>171</x:v>
      </x:c>
      <x:c r="C4" s="706" t="s">
        <x:v>367</x:v>
      </x:c>
      <x:c r="D4" s="875" t="s">
        <x:v>378</x:v>
      </x:c>
    </x:row>
    <x:row r="5" spans="1:4">
      <x:c r="A5" s="36">
        <x:v>4</x:v>
      </x:c>
      <x:c r="B5" s="362" t="s">
        <x:v>192</x:v>
      </x:c>
      <x:c r="C5" s="363" t="s">
        <x:v>367</x:v>
      </x:c>
      <x:c r="D5" s="363" t="s">
        <x:v>375</x:v>
      </x:c>
    </x:row>
    <x:row r="6" spans="1:4">
      <x:c r="A6" s="36">
        <x:v>5</x:v>
      </x:c>
      <x:c r="B6" s="364" t="s">
        <x:v>197</x:v>
      </x:c>
      <x:c r="C6" s="362" t="s">
        <x:v>275</x:v>
      </x:c>
      <x:c r="D6" s="365" t="s">
        <x:v>375</x:v>
      </x:c>
    </x:row>
    <x:row r="7" spans="1:4">
      <x:c r="A7" s="36">
        <x:v>6</x:v>
      </x:c>
      <x:c r="B7" s="629" t="s">
        <x:v>166</x:v>
      </x:c>
      <x:c r="C7" s="190" t="s">
        <x:v>218</x:v>
      </x:c>
      <x:c r="D7" s="191" t="s">
        <x:v>375</x:v>
      </x:c>
    </x:row>
    <x:row r="8" spans="1:4">
      <x:c r="A8" s="36">
        <x:v>7</x:v>
      </x:c>
      <x:c r="B8" s="72" t="s">
        <x:v>219</x:v>
      </x:c>
      <x:c r="C8" s="53" t="s">
        <x:v>275</x:v>
      </x:c>
      <x:c r="D8" s="187" t="s">
        <x:v>378</x:v>
      </x:c>
    </x:row>
    <x:row r="9" spans="1:4" ht="16.75">
      <x:c r="A9" s="36">
        <x:v>8</x:v>
      </x:c>
      <x:c r="B9" s="634" t="s">
        <x:v>372</x:v>
      </x:c>
      <x:c r="C9" s="59" t="s">
        <x:v>237</x:v>
      </x:c>
      <x:c r="D9" s="241" t="s">
        <x:v>375</x:v>
      </x:c>
    </x:row>
    <x:row r="10" spans="1:4" ht="17.149999999999999">
      <x:c r="A10" s="36">
        <x:v>9</x:v>
      </x:c>
      <x:c r="B10" s="519" t="s">
        <x:v>191</x:v>
      </x:c>
      <x:c r="C10" s="368" t="s">
        <x:v>209</x:v>
      </x:c>
      <x:c r="D10" s="520" t="s">
        <x:v>378</x:v>
      </x:c>
    </x:row>
    <x:row r="11" spans="1:4" ht="16.75">
      <x:c r="A11" s="36">
        <x:v>10</x:v>
      </x:c>
      <x:c r="B11" s="123" t="s">
        <x:v>354</x:v>
      </x:c>
      <x:c r="C11" s="55" t="s">
        <x:v>159</x:v>
      </x:c>
      <x:c r="D11" s="241" t="s">
        <x:v>378</x:v>
      </x:c>
    </x:row>
    <x:row r="12" spans="1:4">
      <x:c r="A12" s="36">
        <x:v>11</x:v>
      </x:c>
      <x:c r="B12" s="876" t="s">
        <x:v>359</x:v>
      </x:c>
      <x:c r="C12" s="53" t="s">
        <x:v>312</x:v>
      </x:c>
      <x:c r="D12" s="166" t="s">
        <x:v>378</x:v>
      </x:c>
    </x:row>
    <x:row r="13" spans="1:4">
      <x:c r="A13" s="36">
        <x:v>12</x:v>
      </x:c>
      <x:c r="B13" s="989" t="s">
        <x:v>181</x:v>
      </x:c>
      <x:c r="C13" s="71" t="s">
        <x:v>172</x:v>
      </x:c>
      <x:c r="D13" s="187" t="s">
        <x:v>378</x:v>
      </x:c>
    </x:row>
    <x:row r="14" spans="1:4">
      <x:c r="A14" s="36">
        <x:v>13</x:v>
      </x:c>
      <x:c r="B14" s="877" t="s">
        <x:v>181</x:v>
      </x:c>
      <x:c r="C14" s="53" t="s">
        <x:v>184</x:v>
      </x:c>
      <x:c r="D14" s="187" t="s">
        <x:v>378</x:v>
      </x:c>
    </x:row>
    <x:row r="15" spans="1:4">
      <x:c r="A15" s="36">
        <x:v>14</x:v>
      </x:c>
      <x:c r="B15" s="90" t="s">
        <x:v>394</x:v>
      </x:c>
      <x:c r="C15" s="71" t="s">
        <x:v>367</x:v>
      </x:c>
      <x:c r="D15" s="166" t="s">
        <x:v>378</x:v>
      </x:c>
    </x:row>
    <x:row r="16" spans="1:4">
      <x:c r="A16" s="36">
        <x:v>15</x:v>
      </x:c>
      <x:c r="B16" s="990" t="s">
        <x:v>314</x:v>
      </x:c>
      <x:c r="C16" s="53" t="s">
        <x:v>237</x:v>
      </x:c>
      <x:c r="D16" s="166" t="s">
        <x:v>375</x:v>
      </x:c>
    </x:row>
    <x:row r="17" spans="1:4" ht="16.75">
      <x:c r="A17" s="36">
        <x:v>16</x:v>
      </x:c>
      <x:c r="B17" s="617" t="s">
        <x:v>198</x:v>
      </x:c>
      <x:c r="C17" s="618" t="s">
        <x:v>367</x:v>
      </x:c>
      <x:c r="D17" s="619" t="s">
        <x:v>378</x:v>
      </x:c>
    </x:row>
    <x:row r="18" spans="1:4">
      <x:c r="A18" s="36">
        <x:v>17</x:v>
      </x:c>
      <x:c r="B18" s="173" t="s">
        <x:v>223</x:v>
      </x:c>
      <x:c r="C18" s="173" t="s">
        <x:v>184</x:v>
      </x:c>
      <x:c r="D18" s="181" t="s">
        <x:v>375</x:v>
      </x:c>
    </x:row>
    <x:row r="19" spans="1:4">
      <x:c r="A19" s="36">
        <x:v>18</x:v>
      </x:c>
      <x:c r="B19" s="72" t="s">
        <x:v>347</x:v>
      </x:c>
      <x:c r="C19" s="72" t="s">
        <x:v>172</x:v>
      </x:c>
      <x:c r="D19" s="72" t="s">
        <x:v>378</x:v>
      </x:c>
    </x:row>
    <x:row r="20" spans="1:4">
      <x:c r="A20" s="36">
        <x:v>19</x:v>
      </x:c>
      <x:c r="B20" s="201" t="s">
        <x:v>337</x:v>
      </x:c>
      <x:c r="C20" s="72" t="s">
        <x:v>275</x:v>
      </x:c>
      <x:c r="D20" s="180" t="s">
        <x:v>378</x:v>
      </x:c>
    </x:row>
    <x:row r="21" spans="1:4" ht="16.75">
      <x:c r="A21" s="36">
        <x:v>20</x:v>
      </x:c>
      <x:c r="B21" s="991" t="s">
        <x:v>212</x:v>
      </x:c>
      <x:c r="C21" s="992" t="s">
        <x:v>237</x:v>
      </x:c>
      <x:c r="D21" s="993" t="s">
        <x:v>375</x:v>
      </x:c>
    </x:row>
    <x:row r="22" spans="1:4">
      <x:c r="A22" s="36">
        <x:v>21</x:v>
      </x:c>
      <x:c r="B22" s="190" t="s">
        <x:v>353</x:v>
      </x:c>
      <x:c r="C22" s="190" t="s">
        <x:v>367</x:v>
      </x:c>
      <x:c r="D22" s="191" t="s">
        <x:v>375</x:v>
      </x:c>
    </x:row>
    <x:row r="23" spans="1:4">
      <x:c r="A23" s="36">
        <x:v>22</x:v>
      </x:c>
      <x:c r="B23" s="173" t="s">
        <x:v>168</x:v>
      </x:c>
      <x:c r="C23" s="72" t="s">
        <x:v>218</x:v>
      </x:c>
      <x:c r="D23" s="180" t="s">
        <x:v>375</x:v>
      </x:c>
    </x:row>
    <x:row r="24" spans="1:4">
      <x:c r="A24" s="36">
        <x:v>23</x:v>
      </x:c>
      <x:c r="B24" s="173" t="s">
        <x:v>396</x:v>
      </x:c>
      <x:c r="C24" s="385" t="s">
        <x:v>237</x:v>
      </x:c>
      <x:c r="D24" s="826" t="s">
        <x:v>375</x:v>
      </x:c>
    </x:row>
    <x:row r="25" spans="1:4" ht="16.75">
      <x:c r="A25" s="36">
        <x:v>24</x:v>
      </x:c>
      <x:c r="B25" s="726" t="s">
        <x:v>241</x:v>
      </x:c>
      <x:c r="C25" s="73" t="s">
        <x:v>159</x:v>
      </x:c>
      <x:c r="D25" s="243" t="s">
        <x:v>375</x:v>
      </x:c>
    </x:row>
    <x:row r="26" spans="1:4" ht="16.75">
      <x:c r="A26" s="36">
        <x:v>25</x:v>
      </x:c>
      <x:c r="B26" s="229" t="s">
        <x:v>280</x:v>
      </x:c>
      <x:c r="C26" s="617" t="s">
        <x:v>218</x:v>
      </x:c>
      <x:c r="D26" s="242" t="s">
        <x:v>375</x:v>
      </x:c>
    </x:row>
    <x:row r="27" spans="1:4">
      <x:c r="A27" s="36">
        <x:v>26</x:v>
      </x:c>
      <x:c r="B27" s="53" t="s">
        <x:v>242</x:v>
      </x:c>
      <x:c r="C27" s="53" t="s">
        <x:v>312</x:v>
      </x:c>
      <x:c r="D27" s="166" t="s">
        <x:v>378</x:v>
      </x:c>
    </x:row>
    <x:row r="28" spans="1:4" ht="16.75">
      <x:c r="A28" s="36">
        <x:v>27</x:v>
      </x:c>
      <x:c r="B28" s="391" t="s">
        <x:v>255</x:v>
      </x:c>
      <x:c r="C28" s="635" t="s">
        <x:v>312</x:v>
      </x:c>
      <x:c r="D28" s="994" t="s">
        <x:v>375</x:v>
      </x:c>
    </x:row>
    <x:row r="29" spans="1:4">
      <x:c r="A29" s="36">
        <x:v>28</x:v>
      </x:c>
      <x:c r="B29" s="201" t="s">
        <x:v>352</x:v>
      </x:c>
      <x:c r="C29" s="53" t="s">
        <x:v>275</x:v>
      </x:c>
      <x:c r="D29" s="187" t="s">
        <x:v>375</x:v>
      </x:c>
    </x:row>
    <x:row r="30" spans="1:4">
      <x:c r="A30" s="36">
        <x:v>29</x:v>
      </x:c>
      <x:c r="B30" s="201" t="s">
        <x:v>368</x:v>
      </x:c>
      <x:c r="C30" s="53" t="s">
        <x:v>218</x:v>
      </x:c>
      <x:c r="D30" s="187" t="s">
        <x:v>378</x:v>
      </x:c>
    </x:row>
    <x:row r="31" spans="1:4">
      <x:c r="A31" s="36">
        <x:v>30</x:v>
      </x:c>
      <x:c r="B31" s="201" t="s">
        <x:v>200</x:v>
      </x:c>
      <x:c r="C31" s="72" t="s">
        <x:v>159</x:v>
      </x:c>
      <x:c r="D31" s="180" t="s">
        <x:v>378</x:v>
      </x:c>
    </x:row>
    <x:row r="32" spans="1:4">
      <x:c r="A32" s="36">
        <x:v>31</x:v>
      </x:c>
      <x:c r="B32" s="995" t="s">
        <x:v>249</x:v>
      </x:c>
      <x:c r="C32" s="53" t="s">
        <x:v>246</x:v>
      </x:c>
      <x:c r="D32" s="187" t="s">
        <x:v>378</x:v>
      </x:c>
    </x:row>
    <x:row r="33" spans="1:4">
      <x:c r="A33" s="36">
        <x:v>32</x:v>
      </x:c>
      <x:c r="B33" s="198" t="s">
        <x:v>240</x:v>
      </x:c>
      <x:c r="C33" s="199" t="s">
        <x:v>218</x:v>
      </x:c>
      <x:c r="D33" s="200" t="s">
        <x:v>378</x:v>
      </x:c>
    </x:row>
    <x:row r="34" spans="1:4">
      <x:c r="A34" s="36">
        <x:v>33</x:v>
      </x:c>
      <x:c r="B34" s="252" t="s">
        <x:v>336</x:v>
      </x:c>
      <x:c r="C34" s="53" t="s">
        <x:v>172</x:v>
      </x:c>
      <x:c r="D34" s="175" t="s">
        <x:v>378</x:v>
      </x:c>
    </x:row>
    <x:row r="35" spans="1:4">
      <x:c r="A35" s="36">
        <x:v>34</x:v>
      </x:c>
      <x:c r="B35" s="564" t="s">
        <x:v>343</x:v>
      </x:c>
      <x:c r="C35" s="72" t="s">
        <x:v>159</x:v>
      </x:c>
      <x:c r="D35" s="373" t="s">
        <x:v>375</x:v>
      </x:c>
    </x:row>
    <x:row r="36" spans="1:4" ht="16.75">
      <x:c r="A36" s="36">
        <x:v>35</x:v>
      </x:c>
      <x:c r="B36" s="63" t="s">
        <x:v>355</x:v>
      </x:c>
      <x:c r="C36" s="63" t="s">
        <x:v>367</x:v>
      </x:c>
      <x:c r="D36" s="241" t="s">
        <x:v>378</x:v>
      </x:c>
    </x:row>
    <x:row r="37" spans="1:4">
      <x:c r="A37" s="36">
        <x:v>36</x:v>
      </x:c>
      <x:c r="B37" s="53" t="s">
        <x:v>395</x:v>
      </x:c>
      <x:c r="C37" s="53" t="s">
        <x:v>209</x:v>
      </x:c>
      <x:c r="D37" s="187" t="s">
        <x:v>375</x:v>
      </x:c>
    </x:row>
    <x:row r="38" spans="1:4">
      <x:c r="A38" s="36">
        <x:v>37</x:v>
      </x:c>
      <x:c r="B38" s="53" t="s">
        <x:v>190</x:v>
      </x:c>
      <x:c r="C38" s="53" t="s">
        <x:v>218</x:v>
      </x:c>
      <x:c r="D38" s="166" t="s">
        <x:v>378</x:v>
      </x:c>
    </x:row>
    <x:row r="39" spans="1:4" ht="16.75">
      <x:c r="A39" s="36">
        <x:v>38</x:v>
      </x:c>
      <x:c r="B39" s="206" t="s">
        <x:v>201</x:v>
      </x:c>
      <x:c r="C39" s="63" t="s">
        <x:v>218</x:v>
      </x:c>
      <x:c r="D39" s="204" t="s">
        <x:v>375</x:v>
      </x:c>
    </x:row>
    <x:row r="40" spans="1:4">
      <x:c r="A40" s="36">
        <x:v>39</x:v>
      </x:c>
      <x:c r="B40" s="615" t="s">
        <x:v>215</x:v>
      </x:c>
      <x:c r="C40" s="190" t="s">
        <x:v>159</x:v>
      </x:c>
      <x:c r="D40" s="191" t="s">
        <x:v>378</x:v>
      </x:c>
    </x:row>
    <x:row r="41" spans="1:4">
      <x:c r="A41" s="36">
        <x:v>40</x:v>
      </x:c>
      <x:c r="B41" s="53" t="s">
        <x:v>362</x:v>
      </x:c>
      <x:c r="C41" s="66" t="s">
        <x:v>209</x:v>
      </x:c>
      <x:c r="D41" s="174" t="s">
        <x:v>378</x:v>
      </x:c>
    </x:row>
    <x:row r="42" spans="1:4">
      <x:c r="A42" s="36">
        <x:v>41</x:v>
      </x:c>
      <x:c r="B42" s="185" t="s">
        <x:v>161</x:v>
      </x:c>
      <x:c r="C42" s="185" t="s">
        <x:v>237</x:v>
      </x:c>
      <x:c r="D42" s="997" t="s">
        <x:v>375</x:v>
      </x:c>
    </x:row>
    <x:row r="43" spans="1:4">
      <x:c r="A43" s="36">
        <x:v>42</x:v>
      </x:c>
      <x:c r="B43" s="72" t="s">
        <x:v>179</x:v>
      </x:c>
      <x:c r="C43" s="71" t="s">
        <x:v>275</x:v>
      </x:c>
      <x:c r="D43" s="175" t="s">
        <x:v>375</x:v>
      </x:c>
    </x:row>
    <x:row r="44" spans="1:4">
      <x:c r="A44" s="36">
        <x:v>43</x:v>
      </x:c>
      <x:c r="B44" s="570" t="s">
        <x:v>204</x:v>
      </x:c>
      <x:c r="C44" s="570" t="s">
        <x:v>209</x:v>
      </x:c>
      <x:c r="D44" s="571" t="s">
        <x:v>378</x:v>
      </x:c>
    </x:row>
    <x:row r="45" spans="1:4" ht="16.75">
      <x:c r="A45" s="36">
        <x:v>44</x:v>
      </x:c>
      <x:c r="B45" s="206" t="s">
        <x:v>294</x:v>
      </x:c>
      <x:c r="C45" s="55" t="s">
        <x:v>275</x:v>
      </x:c>
      <x:c r="D45" s="988" t="s">
        <x:v>375</x:v>
      </x:c>
    </x:row>
    <x:row r="46" spans="1:4">
      <x:c r="A46" s="36">
        <x:v>45</x:v>
      </x:c>
      <x:c r="B46" s="61" t="s">
        <x:v>252</x:v>
      </x:c>
      <x:c r="C46" s="61" t="s">
        <x:v>159</x:v>
      </x:c>
      <x:c r="D46" s="62" t="s">
        <x:v>375</x:v>
      </x:c>
    </x:row>
    <x:row r="47" spans="1:4">
      <x:c r="A47" s="36">
        <x:v>46</x:v>
      </x:c>
      <x:c r="B47" s="362" t="s">
        <x:v>402</x:v>
      </x:c>
      <x:c r="C47" s="363" t="s">
        <x:v>275</x:v>
      </x:c>
      <x:c r="D47" s="363" t="s">
        <x:v>375</x:v>
      </x:c>
    </x:row>
    <x:row r="48" spans="1:4">
      <x:c r="A48" s="36">
        <x:v>47</x:v>
      </x:c>
      <x:c r="B48" s="998" t="s">
        <x:v>340</x:v>
      </x:c>
      <x:c r="C48" s="50" t="s">
        <x:v>159</x:v>
      </x:c>
      <x:c r="D48" s="42" t="s">
        <x:v>378</x:v>
      </x:c>
    </x:row>
    <x:row r="49" spans="1:4">
      <x:c r="A49" s="36">
        <x:v>48</x:v>
      </x:c>
      <x:c r="B49" s="192" t="s">
        <x:v>381</x:v>
      </x:c>
      <x:c r="C49" s="192" t="s">
        <x:v>367</x:v>
      </x:c>
      <x:c r="D49" s="191" t="s">
        <x:v>375</x:v>
      </x:c>
    </x:row>
    <x:row r="50" spans="1:4">
      <x:c r="A50" s="36">
        <x:v>49</x:v>
      </x:c>
      <x:c r="B50" s="53" t="s">
        <x:v>253</x:v>
      </x:c>
      <x:c r="C50" s="66" t="s">
        <x:v>209</x:v>
      </x:c>
      <x:c r="D50" s="187" t="s">
        <x:v>378</x:v>
      </x:c>
    </x:row>
    <x:row r="51" spans="1:4">
      <x:c r="A51" s="36">
        <x:v>50</x:v>
      </x:c>
      <x:c r="B51" s="173" t="s">
        <x:v>217</x:v>
      </x:c>
      <x:c r="C51" s="77" t="s">
        <x:v>172</x:v>
      </x:c>
      <x:c r="D51" s="42" t="s">
        <x:v>378</x:v>
      </x:c>
    </x:row>
    <x:row r="52" spans="1:4" ht="16.75">
      <x:c r="A52" s="36">
        <x:v>51</x:v>
      </x:c>
      <x:c r="B52" s="391" t="s">
        <x:v>321</x:v>
      </x:c>
      <x:c r="C52" s="266" t="s">
        <x:v>184</x:v>
      </x:c>
      <x:c r="D52" s="742" t="s">
        <x:v>375</x:v>
      </x:c>
    </x:row>
    <x:row r="53" spans="1:4">
      <x:c r="A53" s="36">
        <x:v>52</x:v>
      </x:c>
      <x:c r="B53" s="638" t="s">
        <x:v>183</x:v>
      </x:c>
      <x:c r="C53" s="208" t="s">
        <x:v>367</x:v>
      </x:c>
      <x:c r="D53" s="315" t="s">
        <x:v>375</x:v>
      </x:c>
    </x:row>
    <x:row r="54" spans="1:4">
      <x:c r="A54" s="36">
        <x:v>53</x:v>
      </x:c>
      <x:c r="B54" s="638" t="s">
        <x:v>403</x:v>
      </x:c>
      <x:c r="C54" s="208" t="s">
        <x:v>184</x:v>
      </x:c>
      <x:c r="D54" s="315" t="s">
        <x:v>375</x:v>
      </x:c>
    </x:row>
    <x:row r="55" spans="1:4">
      <x:c r="A55" s="36">
        <x:v>54</x:v>
      </x:c>
      <x:c r="B55" s="252" t="s">
        <x:v>391</x:v>
      </x:c>
      <x:c r="C55" s="66" t="s">
        <x:v>172</x:v>
      </x:c>
      <x:c r="D55" s="187" t="s">
        <x:v>375</x:v>
      </x:c>
    </x:row>
    <x:row r="56" spans="1:4" ht="16.75">
      <x:c r="A56" s="36">
        <x:v>55</x:v>
      </x:c>
      <x:c r="B56" s="63" t="s">
        <x:v>358</x:v>
      </x:c>
      <x:c r="C56" s="63" t="s">
        <x:v>237</x:v>
      </x:c>
      <x:c r="D56" s="59" t="s">
        <x:v>378</x:v>
      </x:c>
    </x:row>
    <x:row r="57" spans="1:4">
      <x:c r="A57" s="36">
        <x:v>56</x:v>
      </x:c>
      <x:c r="B57" s="362" t="s">
        <x:v>222</x:v>
      </x:c>
      <x:c r="C57" s="362" t="s">
        <x:v>184</x:v>
      </x:c>
      <x:c r="D57" s="999" t="s">
        <x:v>378</x:v>
      </x:c>
    </x:row>
    <x:row r="58" spans="1:4">
      <x:c r="A58" s="36">
        <x:v>57</x:v>
      </x:c>
      <x:c r="B58" s="317" t="s">
        <x:v>196</x:v>
      </x:c>
      <x:c r="C58" s="385" t="s">
        <x:v>159</x:v>
      </x:c>
      <x:c r="D58" s="392" t="s">
        <x:v>375</x:v>
      </x:c>
    </x:row>
    <x:row r="59" spans="1:4" ht="17.149999999999999">
      <x:c r="A59" s="36">
        <x:v>58</x:v>
      </x:c>
      <x:c r="B59" s="1000" t="s">
        <x:v>401</x:v>
      </x:c>
      <x:c r="C59" s="1001" t="s">
        <x:v>218</x:v>
      </x:c>
      <x:c r="D59" s="1002" t="s">
        <x:v>375</x:v>
      </x:c>
    </x:row>
    <x:row r="60" spans="1:4">
      <x:c r="A60" s="36">
        <x:v>59</x:v>
      </x:c>
      <x:c r="B60" s="53" t="s">
        <x:v>357</x:v>
      </x:c>
      <x:c r="C60" s="53" t="s">
        <x:v>172</x:v>
      </x:c>
      <x:c r="D60" s="53" t="s">
        <x:v>375</x:v>
      </x:c>
    </x:row>
    <x:row r="61" spans="1:4" ht="17.149999999999999">
      <x:c r="A61" s="36">
        <x:v>60</x:v>
      </x:c>
      <x:c r="B61" s="1003" t="s">
        <x:v>208</x:v>
      </x:c>
      <x:c r="C61" s="1004" t="s">
        <x:v>312</x:v>
      </x:c>
      <x:c r="D61" s="1005" t="s">
        <x:v>378</x:v>
      </x:c>
    </x:row>
    <x:row r="62" spans="1:4" ht="17.149999999999999">
      <x:c r="A62" s="36">
        <x:v>61</x:v>
      </x:c>
      <x:c r="B62" s="578" t="s">
        <x:v>173</x:v>
      </x:c>
      <x:c r="C62" s="579" t="s">
        <x:v>275</x:v>
      </x:c>
      <x:c r="D62" s="878" t="s">
        <x:v>375</x:v>
      </x:c>
    </x:row>
    <x:row r="63" spans="1:4">
      <x:c r="A63" s="36">
        <x:v>62</x:v>
      </x:c>
      <x:c r="B63" s="201" t="s">
        <x:v>257</x:v>
      </x:c>
      <x:c r="C63" s="72" t="s">
        <x:v>237</x:v>
      </x:c>
      <x:c r="D63" s="126" t="s">
        <x:v>375</x:v>
      </x:c>
    </x:row>
    <x:row r="64" spans="1:4">
      <x:c r="A64" s="36">
        <x:v>63</x:v>
      </x:c>
      <x:c r="B64" s="1006" t="s">
        <x:v>399</x:v>
      </x:c>
      <x:c r="C64" s="227" t="s">
        <x:v>159</x:v>
      </x:c>
      <x:c r="D64" s="228" t="s">
        <x:v>375</x:v>
      </x:c>
    </x:row>
    <x:row r="65" spans="1:4">
      <x:c r="A65" s="36">
        <x:v>64</x:v>
      </x:c>
      <x:c r="B65" s="201" t="s">
        <x:v>193</x:v>
      </x:c>
      <x:c r="C65" s="53" t="s">
        <x:v>159</x:v>
      </x:c>
      <x:c r="D65" s="187" t="s">
        <x:v>378</x:v>
      </x:c>
    </x:row>
    <x:row r="66" spans="1:4">
      <x:c r="A66" s="36">
        <x:v>65</x:v>
      </x:c>
      <x:c r="B66" s="257" t="s">
        <x:v>346</x:v>
      </x:c>
      <x:c r="C66" s="61" t="s">
        <x:v>275</x:v>
      </x:c>
      <x:c r="D66" s="167" t="s">
        <x:v>378</x:v>
      </x:c>
    </x:row>
    <x:row r="67" spans="1:4">
      <x:c r="A67" s="36">
        <x:v>66</x:v>
      </x:c>
      <x:c r="B67" s="291" t="s">
        <x:v>380</x:v>
      </x:c>
      <x:c r="C67" s="320" t="s">
        <x:v>275</x:v>
      </x:c>
      <x:c r="D67" s="581" t="s">
        <x:v>375</x:v>
      </x:c>
    </x:row>
    <x:row r="68" spans="1:4">
      <x:c r="A68" s="36">
        <x:v>67</x:v>
      </x:c>
      <x:c r="B68" s="185" t="s">
        <x:v>194</x:v>
      </x:c>
      <x:c r="C68" s="185" t="s">
        <x:v>172</x:v>
      </x:c>
      <x:c r="D68" s="1007" t="s">
        <x:v>378</x:v>
      </x:c>
    </x:row>
    <x:row r="69" spans="1:4">
      <x:c r="A69" s="36">
        <x:v>68</x:v>
      </x:c>
      <x:c r="B69" s="198" t="s">
        <x:v>387</x:v>
      </x:c>
      <x:c r="C69" s="199" t="s">
        <x:v>367</x:v>
      </x:c>
      <x:c r="D69" s="287" t="s">
        <x:v>378</x:v>
      </x:c>
    </x:row>
    <x:row r="70" spans="1:4">
      <x:c r="A70" s="36">
        <x:v>69</x:v>
      </x:c>
      <x:c r="B70" s="201" t="s">
        <x:v>374</x:v>
      </x:c>
      <x:c r="C70" s="71" t="s">
        <x:v>218</x:v>
      </x:c>
      <x:c r="D70" s="166" t="s">
        <x:v>375</x:v>
      </x:c>
    </x:row>
    <x:row r="71" spans="1:4">
      <x:c r="A71" s="36">
        <x:v>70</x:v>
      </x:c>
      <x:c r="B71" s="252" t="s">
        <x:v>163</x:v>
      </x:c>
      <x:c r="C71" s="53" t="s">
        <x:v>221</x:v>
      </x:c>
      <x:c r="D71" s="166" t="s">
        <x:v>375</x:v>
      </x:c>
    </x:row>
    <x:row r="72" spans="1:4" ht="16.75">
      <x:c r="A72" s="36">
        <x:v>71</x:v>
      </x:c>
      <x:c r="B72" s="879" t="s">
        <x:v>392</x:v>
      </x:c>
      <x:c r="C72" s="880" t="s">
        <x:v>172</x:v>
      </x:c>
      <x:c r="D72" s="424" t="s">
        <x:v>375</x:v>
      </x:c>
    </x:row>
    <x:row r="73" spans="1:4" ht="16.75">
      <x:c r="A73" s="36">
        <x:v>72</x:v>
      </x:c>
      <x:c r="B73" s="566" t="s">
        <x:v>188</x:v>
      </x:c>
      <x:c r="C73" s="325" t="s">
        <x:v>275</x:v>
      </x:c>
      <x:c r="D73" s="881" t="s">
        <x:v>375</x:v>
      </x:c>
    </x:row>
    <x:row r="74" spans="1:4">
      <x:c r="A74" s="36">
        <x:v>73</x:v>
      </x:c>
      <x:c r="B74" s="252" t="s">
        <x:v>188</x:v>
      </x:c>
      <x:c r="C74" s="50" t="s">
        <x:v>275</x:v>
      </x:c>
      <x:c r="D74" s="203" t="s">
        <x:v>375</x:v>
      </x:c>
    </x:row>
    <x:row r="75" spans="1:4">
      <x:c r="A75" s="36">
        <x:v>74</x:v>
      </x:c>
      <x:c r="B75" s="614" t="s">
        <x:v>186</x:v>
      </x:c>
      <x:c r="C75" s="320" t="s">
        <x:v>172</x:v>
      </x:c>
      <x:c r="D75" s="581" t="s">
        <x:v>378</x:v>
      </x:c>
    </x:row>
    <x:row r="76" spans="1:4">
      <x:c r="A76" s="36">
        <x:v>75</x:v>
      </x:c>
      <x:c r="B76" s="61" t="s">
        <x:v>308</x:v>
      </x:c>
      <x:c r="C76" s="50" t="s">
        <x:v>172</x:v>
      </x:c>
      <x:c r="D76" s="254" t="s">
        <x:v>378</x:v>
      </x:c>
    </x:row>
    <x:row r="77" spans="1:4">
      <x:c r="A77" s="36">
        <x:v>76</x:v>
      </x:c>
      <x:c r="B77" s="72" t="s">
        <x:v>170</x:v>
      </x:c>
      <x:c r="C77" s="71" t="s">
        <x:v>312</x:v>
      </x:c>
      <x:c r="D77" s="166" t="s">
        <x:v>378</x:v>
      </x:c>
    </x:row>
    <x:row r="78" spans="1:4" ht="16.75">
      <x:c r="A78" s="36">
        <x:v>77</x:v>
      </x:c>
      <x:c r="B78" s="566" t="s">
        <x:v>216</x:v>
      </x:c>
      <x:c r="C78" s="57" t="s">
        <x:v>367</x:v>
      </x:c>
      <x:c r="D78" s="1008" t="s">
        <x:v>378</x:v>
      </x:c>
    </x:row>
    <x:row r="79" spans="1:4">
      <x:c r="A79" s="36">
        <x:v>78</x:v>
      </x:c>
      <x:c r="B79" s="201" t="s">
        <x:v>177</x:v>
      </x:c>
      <x:c r="C79" s="53" t="s">
        <x:v>237</x:v>
      </x:c>
      <x:c r="D79" s="174" t="s">
        <x:v>378</x:v>
      </x:c>
    </x:row>
    <x:row r="80" spans="1:4">
      <x:c r="A80" s="36">
        <x:v>79</x:v>
      </x:c>
      <x:c r="B80" s="53" t="s">
        <x:v>385</x:v>
      </x:c>
      <x:c r="C80" s="53" t="s">
        <x:v>172</x:v>
      </x:c>
      <x:c r="D80" s="166" t="s">
        <x:v>375</x:v>
      </x:c>
    </x:row>
    <x:row r="81" spans="1:4">
      <x:c r="A81" s="36">
        <x:v>80</x:v>
      </x:c>
      <x:c r="B81" s="317" t="s">
        <x:v>264</x:v>
      </x:c>
      <x:c r="C81" s="317" t="s">
        <x:v>172</x:v>
      </x:c>
      <x:c r="D81" s="826" t="s">
        <x:v>378</x:v>
      </x:c>
    </x:row>
    <x:row r="82" spans="1:4" ht="17.149999999999999">
      <x:c r="A82" s="36">
        <x:v>81</x:v>
      </x:c>
      <x:c r="B82" s="996" t="s">
        <x:v>169</x:v>
      </x:c>
      <x:c r="C82" s="348" t="s">
        <x:v>367</x:v>
      </x:c>
      <x:c r="D82" s="368" t="s">
        <x:v>375</x:v>
      </x:c>
    </x:row>
    <x:row r="83" spans="1:4" ht="16.75">
      <x:c r="A83" s="36">
        <x:v>82</x:v>
      </x:c>
      <x:c r="B83" s="322" t="s">
        <x:v>169</x:v>
      </x:c>
      <x:c r="C83" s="63" t="s">
        <x:v>367</x:v>
      </x:c>
      <x:c r="D83" s="241" t="s">
        <x:v>375</x:v>
      </x:c>
    </x:row>
    <x:row r="84" spans="1:4">
      <x:c r="A84" s="36">
        <x:v>83</x:v>
      </x:c>
      <x:c r="B84" s="201" t="s">
        <x:v>356</x:v>
      </x:c>
      <x:c r="C84" s="72" t="s">
        <x:v>159</x:v>
      </x:c>
      <x:c r="D84" s="323" t="s">
        <x:v>378</x:v>
      </x:c>
    </x:row>
    <x:row r="85" spans="1:4">
      <x:c r="A85" s="36">
        <x:v>84</x:v>
      </x:c>
      <x:c r="B85" s="252" t="s">
        <x:v>377</x:v>
      </x:c>
      <x:c r="C85" s="53" t="s">
        <x:v>218</x:v>
      </x:c>
      <x:c r="D85" s="166" t="s">
        <x:v>378</x:v>
      </x:c>
    </x:row>
    <x:row r="86" spans="1:4">
      <x:c r="A86" s="36">
        <x:v>85</x:v>
      </x:c>
      <x:c r="B86" s="201" t="s">
        <x:v>207</x:v>
      </x:c>
      <x:c r="C86" s="53" t="s">
        <x:v>172</x:v>
      </x:c>
      <x:c r="D86" s="187" t="s">
        <x:v>378</x:v>
      </x:c>
    </x:row>
    <x:row r="87" spans="1:4">
      <x:c r="A87" s="36">
        <x:v>86</x:v>
      </x:c>
      <x:c r="B87" s="201" t="s">
        <x:v>229</x:v>
      </x:c>
      <x:c r="C87" s="53" t="s">
        <x:v>312</x:v>
      </x:c>
      <x:c r="D87" s="187" t="s">
        <x:v>375</x:v>
      </x:c>
    </x:row>
    <x:row r="88" spans="1:4">
      <x:c r="A88" s="36">
        <x:v>87</x:v>
      </x:c>
      <x:c r="B88" s="201" t="s">
        <x:v>250</x:v>
      </x:c>
      <x:c r="C88" s="71" t="s">
        <x:v>367</x:v>
      </x:c>
      <x:c r="D88" s="166" t="s">
        <x:v>375</x:v>
      </x:c>
    </x:row>
    <x:row r="89" spans="1:4" ht="16.75">
      <x:c r="A89" s="36">
        <x:v>88</x:v>
      </x:c>
      <x:c r="B89" s="229" t="s">
        <x:v>373</x:v>
      </x:c>
      <x:c r="C89" s="229" t="s">
        <x:v>172</x:v>
      </x:c>
      <x:c r="D89" s="242" t="s">
        <x:v>378</x:v>
      </x:c>
    </x:row>
    <x:row r="90" spans="1:4">
      <x:c r="A90" s="36">
        <x:v>89</x:v>
      </x:c>
      <x:c r="B90" s="72" t="s">
        <x:v>206</x:v>
      </x:c>
      <x:c r="C90" s="71" t="s">
        <x:v>159</x:v>
      </x:c>
      <x:c r="D90" s="187" t="s">
        <x:v>378</x:v>
      </x:c>
    </x:row>
    <x:row r="91" spans="1:4">
      <x:c r="A91" s="36">
        <x:v>90</x:v>
      </x:c>
      <x:c r="B91" s="190" t="s">
        <x:v>239</x:v>
      </x:c>
      <x:c r="C91" s="190" t="s">
        <x:v>275</x:v>
      </x:c>
      <x:c r="D91" s="1009" t="s">
        <x:v>378</x:v>
      </x:c>
    </x:row>
    <x:row r="92" spans="1:4" ht="16.75">
      <x:c r="A92" s="36">
        <x:v>91</x:v>
      </x:c>
      <x:c r="B92" s="1010" t="s">
        <x:v>370</x:v>
      </x:c>
      <x:c r="C92" s="1011" t="s">
        <x:v>275</x:v>
      </x:c>
      <x:c r="D92" s="1012" t="s">
        <x:v>375</x:v>
      </x:c>
    </x:row>
    <x:row r="93" spans="1:4" ht="16.75">
      <x:c r="A93" s="36">
        <x:v>92</x:v>
      </x:c>
      <x:c r="B93" s="1013" t="s">
        <x:v>236</x:v>
      </x:c>
      <x:c r="C93" s="1013" t="s">
        <x:v>312</x:v>
      </x:c>
      <x:c r="D93" s="1014" t="s">
        <x:v>378</x:v>
      </x:c>
    </x:row>
    <x:row r="94" spans="1:4" ht="16.75">
      <x:c r="A94" s="36">
        <x:v>93</x:v>
      </x:c>
      <x:c r="B94" s="206" t="s">
        <x:v>350</x:v>
      </x:c>
      <x:c r="C94" s="57" t="s">
        <x:v>312</x:v>
      </x:c>
      <x:c r="D94" s="241" t="s">
        <x:v>375</x:v>
      </x:c>
    </x:row>
    <x:row r="95" spans="1:4">
      <x:c r="A95" s="36">
        <x:v>94</x:v>
      </x:c>
      <x:c r="B95" s="265" t="s">
        <x:v>175</x:v>
      </x:c>
      <x:c r="C95" s="50" t="s">
        <x:v>172</x:v>
      </x:c>
      <x:c r="D95" s="203" t="s">
        <x:v>378</x:v>
      </x:c>
    </x:row>
    <x:row r="96" spans="1:4">
      <x:c r="A96" s="36">
        <x:v>95</x:v>
      </x:c>
      <x:c r="B96" s="252" t="s">
        <x:v>348</x:v>
      </x:c>
      <x:c r="C96" s="66" t="s">
        <x:v>209</x:v>
      </x:c>
      <x:c r="D96" s="187" t="s">
        <x:v>375</x:v>
      </x:c>
    </x:row>
    <x:row r="97" spans="1:4">
      <x:c r="A97" s="36">
        <x:v>96</x:v>
      </x:c>
      <x:c r="B97" s="201" t="s">
        <x:v>260</x:v>
      </x:c>
      <x:c r="C97" s="71" t="s">
        <x:v>159</x:v>
      </x:c>
      <x:c r="D97" s="166" t="s">
        <x:v>375</x:v>
      </x:c>
    </x:row>
    <x:row r="98" spans="1:4" ht="16.75">
      <x:c r="A98" s="36">
        <x:v>97</x:v>
      </x:c>
      <x:c r="B98" s="655" t="s">
        <x:v>400</x:v>
      </x:c>
      <x:c r="C98" s="655" t="s">
        <x:v>172</x:v>
      </x:c>
      <x:c r="D98" s="241" t="s">
        <x:v>375</x:v>
      </x:c>
    </x:row>
    <x:row r="99" spans="1:4">
      <x:c r="A99" s="36">
        <x:v>98</x:v>
      </x:c>
      <x:c r="B99" s="259" t="s">
        <x:v>390</x:v>
      </x:c>
      <x:c r="C99" s="1015" t="s">
        <x:v>172</x:v>
      </x:c>
      <x:c r="D99" s="267" t="s">
        <x:v>375</x:v>
      </x:c>
    </x:row>
    <x:row r="100" spans="1:4">
      <x:c r="A100" s="36">
        <x:v>99</x:v>
      </x:c>
      <x:c r="B100" s="71" t="s">
        <x:v>393</x:v>
      </x:c>
      <x:c r="C100" s="173" t="s">
        <x:v>275</x:v>
      </x:c>
      <x:c r="D100" s="181" t="s">
        <x:v>378</x:v>
      </x:c>
    </x:row>
    <x:row r="101" spans="1:4">
      <x:c r="A101" s="36">
        <x:v>100</x:v>
      </x:c>
      <x:c r="B101" s="364" t="s">
        <x:v>393</x:v>
      </x:c>
      <x:c r="C101" s="192" t="s">
        <x:v>275</x:v>
      </x:c>
      <x:c r="D101" s="191" t="s">
        <x:v>378</x:v>
      </x:c>
    </x:row>
    <x:row r="102" spans="1:4">
      <x:c r="A102" s="36">
        <x:v>101</x:v>
      </x:c>
      <x:c r="B102" s="265" t="s">
        <x:v>344</x:v>
      </x:c>
      <x:c r="C102" s="1016" t="s">
        <x:v>367</x:v>
      </x:c>
      <x:c r="D102" s="267" t="s">
        <x:v>378</x:v>
      </x:c>
    </x:row>
    <x:row r="103" spans="1:4">
      <x:c r="A103" s="36">
        <x:v>102</x:v>
      </x:c>
      <x:c r="B103" s="72" t="s">
        <x:v>363</x:v>
      </x:c>
      <x:c r="C103" s="53" t="s">
        <x:v>159</x:v>
      </x:c>
      <x:c r="D103" s="174" t="s">
        <x:v>375</x:v>
      </x:c>
    </x:row>
    <x:row r="104" spans="1:4" ht="16.75">
      <x:c r="A104" s="36">
        <x:v>103</x:v>
      </x:c>
      <x:c r="B104" s="63" t="s">
        <x:v>266</x:v>
      </x:c>
      <x:c r="C104" s="63" t="s">
        <x:v>275</x:v>
      </x:c>
      <x:c r="D104" s="474" t="s">
        <x:v>375</x:v>
      </x:c>
    </x:row>
    <x:row r="105" spans="1:4">
      <x:c r="A105" s="36">
        <x:v>104</x:v>
      </x:c>
      <x:c r="B105" s="72" t="s">
        <x:v>316</x:v>
      </x:c>
      <x:c r="C105" s="71" t="s">
        <x:v>172</x:v>
      </x:c>
      <x:c r="D105" s="53" t="s">
        <x:v>378</x:v>
      </x:c>
    </x:row>
    <x:row r="106" spans="1:4">
      <x:c r="A106" s="36">
        <x:v>105</x:v>
      </x:c>
      <x:c r="B106" s="185" t="s">
        <x:v>162</x:v>
      </x:c>
      <x:c r="C106" s="185" t="s">
        <x:v>312</x:v>
      </x:c>
      <x:c r="D106" s="733" t="s">
        <x:v>378</x:v>
      </x:c>
    </x:row>
    <x:row r="107" spans="1:4">
      <x:c r="A107" s="36">
        <x:v>106</x:v>
      </x:c>
      <x:c r="B107" s="72" t="s">
        <x:v>389</x:v>
      </x:c>
      <x:c r="C107" s="71" t="s">
        <x:v>312</x:v>
      </x:c>
      <x:c r="D107" s="166" t="s">
        <x:v>378</x:v>
      </x:c>
    </x:row>
  </x:sheetData>
  <x:autoFilter ref="A1:I1">
    <x:sortState columnSort="0" caseSensitive="0" ref="A2:I124">
      <x:sortCondition descending="0" sortBy="value" ref="B2:B124"/>
    </x:sortState>
  </x:autoFilter>
  <x:sortState columnSort="0" caseSensitive="0" ref="G1:G142"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 filterMode="1"/>
  <x:dimension ref="A1:O121"/>
  <x:sheetViews>
    <x:sheetView topLeftCell="A66" zoomScaleNormal="100" zoomScaleSheetLayoutView="75" workbookViewId="0">
      <x:selection activeCell="B92" activeCellId="0" sqref="B92:B92"/>
    </x:sheetView>
  </x:sheetViews>
  <x:sheetFormatPr defaultColWidth="9.00390625" defaultRowHeight="16.399999999999999"/>
  <x:cols>
    <x:col min="1" max="1" width="9.00390625" style="32" bestFit="1" customWidth="1"/>
    <x:col min="10" max="10" width="9.00390625" style="664"/>
    <x:col min="11" max="11" width="10.875" style="664" customWidth="1"/>
    <x:col min="12" max="12" width="9.00390625" style="664" bestFit="1" customWidth="1"/>
    <x:col min="13" max="13" width="14.25" style="664" customWidth="1"/>
  </x:cols>
  <x:sheetData>
    <x:row r="1" spans="1:4">
      <x:c r="A1" s="32" t="s">
        <x:v>282</x:v>
      </x:c>
      <x:c r="B1" s="32" t="s">
        <x:v>384</x:v>
      </x:c>
      <x:c r="C1" s="32" t="s">
        <x:v>164</x:v>
      </x:c>
      <x:c r="D1" s="32" t="s">
        <x:v>398</x:v>
      </x:c>
    </x:row>
    <x:row r="2" spans="1:4" ht="16.75">
      <x:c r="A2" s="32">
        <x:v>1</x:v>
      </x:c>
      <x:c r="B2" s="609" t="s">
        <x:v>379</x:v>
      </x:c>
      <x:c r="C2" s="609" t="s">
        <x:v>172</x:v>
      </x:c>
      <x:c r="D2" s="610" t="s">
        <x:v>375</x:v>
      </x:c>
    </x:row>
    <x:row r="3" spans="1:4">
      <x:c r="A3" s="32">
        <x:v>2</x:v>
      </x:c>
      <x:c r="B3" s="50" t="s">
        <x:v>171</x:v>
      </x:c>
      <x:c r="C3" s="50" t="s">
        <x:v>367</x:v>
      </x:c>
      <x:c r="D3" s="611" t="s">
        <x:v>378</x:v>
      </x:c>
    </x:row>
    <x:row r="4" spans="1:4">
      <x:c r="A4" s="32">
        <x:v>3</x:v>
      </x:c>
      <x:c r="B4" s="362" t="s">
        <x:v>192</x:v>
      </x:c>
      <x:c r="C4" s="363" t="s">
        <x:v>367</x:v>
      </x:c>
      <x:c r="D4" s="569" t="s">
        <x:v>375</x:v>
      </x:c>
    </x:row>
    <x:row r="5" spans="1:4" ht="17.149999999999999">
      <x:c r="A5" s="32">
        <x:v>4</x:v>
      </x:c>
      <x:c r="B5" s="612" t="s">
        <x:v>157</x:v>
      </x:c>
      <x:c r="C5" s="221" t="s">
        <x:v>184</x:v>
      </x:c>
      <x:c r="D5" s="568" t="s">
        <x:v>375</x:v>
      </x:c>
    </x:row>
    <x:row r="6" spans="1:4" ht="16.75">
      <x:c r="A6" s="32">
        <x:v>5</x:v>
      </x:c>
      <x:c r="B6" s="206" t="s">
        <x:v>369</x:v>
      </x:c>
      <x:c r="C6" s="55" t="s">
        <x:v>312</x:v>
      </x:c>
      <x:c r="D6" s="613" t="s">
        <x:v>375</x:v>
      </x:c>
    </x:row>
    <x:row r="7" spans="1:4">
      <x:c r="A7" s="32">
        <x:v>6</x:v>
      </x:c>
      <x:c r="B7" s="614" t="s">
        <x:v>349</x:v>
      </x:c>
      <x:c r="C7" s="320" t="s">
        <x:v>184</x:v>
      </x:c>
      <x:c r="D7" s="581" t="s">
        <x:v>375</x:v>
      </x:c>
    </x:row>
    <x:row r="8" spans="1:4">
      <x:c r="A8" s="32">
        <x:v>7</x:v>
      </x:c>
      <x:c r="B8" s="615" t="s">
        <x:v>197</x:v>
      </x:c>
      <x:c r="C8" s="192" t="s">
        <x:v>275</x:v>
      </x:c>
      <x:c r="D8" s="191" t="s">
        <x:v>375</x:v>
      </x:c>
    </x:row>
    <x:row r="9" spans="1:4">
      <x:c r="A9" s="32">
        <x:v>8</x:v>
      </x:c>
      <x:c r="B9" s="190" t="s">
        <x:v>166</x:v>
      </x:c>
      <x:c r="C9" s="190" t="s">
        <x:v>218</x:v>
      </x:c>
      <x:c r="D9" s="191" t="s">
        <x:v>375</x:v>
      </x:c>
    </x:row>
    <x:row r="10" spans="1:4">
      <x:c r="A10" s="32">
        <x:v>9</x:v>
      </x:c>
      <x:c r="B10" s="294" t="s">
        <x:v>219</x:v>
      </x:c>
      <x:c r="C10" s="208" t="s">
        <x:v>275</x:v>
      </x:c>
      <x:c r="D10" s="169" t="s">
        <x:v>378</x:v>
      </x:c>
    </x:row>
    <x:row r="11" spans="1:4">
      <x:c r="A11" s="32">
        <x:v>10</x:v>
      </x:c>
      <x:c r="B11" s="317" t="s">
        <x:v>372</x:v>
      </x:c>
      <x:c r="C11" s="66" t="s">
        <x:v>237</x:v>
      </x:c>
      <x:c r="D11" s="175" t="s">
        <x:v>375</x:v>
      </x:c>
    </x:row>
    <x:row r="12" spans="1:4">
      <x:c r="A12" s="32">
        <x:v>11</x:v>
      </x:c>
      <x:c r="B12" s="201" t="s">
        <x:v>354</x:v>
      </x:c>
      <x:c r="C12" s="72" t="s">
        <x:v>159</x:v>
      </x:c>
      <x:c r="D12" s="166" t="s">
        <x:v>378</x:v>
      </x:c>
    </x:row>
    <x:row r="13" spans="1:4">
      <x:c r="A13" s="32">
        <x:v>12</x:v>
      </x:c>
      <x:c r="B13" s="268" t="s">
        <x:v>359</x:v>
      </x:c>
      <x:c r="C13" s="71" t="s">
        <x:v>172</x:v>
      </x:c>
      <x:c r="D13" s="174" t="s">
        <x:v>375</x:v>
      </x:c>
    </x:row>
    <x:row r="14" spans="1:4">
      <x:c r="A14" s="32">
        <x:v>13</x:v>
      </x:c>
      <x:c r="B14" s="318" t="s">
        <x:v>359</x:v>
      </x:c>
      <x:c r="C14" s="53" t="s">
        <x:v>312</x:v>
      </x:c>
      <x:c r="D14" s="175" t="s">
        <x:v>378</x:v>
      </x:c>
    </x:row>
    <x:row r="15" spans="1:4">
      <x:c r="A15" s="32">
        <x:v>14</x:v>
      </x:c>
      <x:c r="B15" s="319" t="s">
        <x:v>181</x:v>
      </x:c>
      <x:c r="C15" s="71" t="s">
        <x:v>172</x:v>
      </x:c>
      <x:c r="D15" s="66" t="s">
        <x:v>378</x:v>
      </x:c>
    </x:row>
    <x:row r="16" spans="1:4" ht="16.75">
      <x:c r="A16" s="32">
        <x:v>15</x:v>
      </x:c>
      <x:c r="B16" s="585" t="s">
        <x:v>181</x:v>
      </x:c>
      <x:c r="C16" s="164" t="s">
        <x:v>184</x:v>
      </x:c>
      <x:c r="D16" s="165" t="s">
        <x:v>378</x:v>
      </x:c>
    </x:row>
    <x:row r="17" spans="1:4">
      <x:c r="A17" s="32">
        <x:v>16</x:v>
      </x:c>
      <x:c r="B17" s="317" t="s">
        <x:v>267</x:v>
      </x:c>
      <x:c r="C17" s="53" t="s">
        <x:v>275</x:v>
      </x:c>
      <x:c r="D17" s="166" t="s">
        <x:v>378</x:v>
      </x:c>
    </x:row>
    <x:row r="18" spans="1:4">
      <x:c r="A18" s="32">
        <x:v>17</x:v>
      </x:c>
      <x:c r="B18" s="72" t="s">
        <x:v>394</x:v>
      </x:c>
      <x:c r="C18" s="71" t="s">
        <x:v>367</x:v>
      </x:c>
      <x:c r="D18" s="166" t="s">
        <x:v>378</x:v>
      </x:c>
    </x:row>
    <x:row r="19" spans="1:4">
      <x:c r="A19" s="32">
        <x:v>18</x:v>
      </x:c>
      <x:c r="B19" s="53" t="s">
        <x:v>314</x:v>
      </x:c>
      <x:c r="C19" s="53" t="s">
        <x:v>237</x:v>
      </x:c>
      <x:c r="D19" s="166" t="s">
        <x:v>375</x:v>
      </x:c>
    </x:row>
    <x:row r="20" spans="1:4" ht="16.75">
      <x:c r="A20" s="32">
        <x:v>19</x:v>
      </x:c>
      <x:c r="B20" s="557" t="s">
        <x:v>198</x:v>
      </x:c>
      <x:c r="C20" s="557" t="s">
        <x:v>367</x:v>
      </x:c>
      <x:c r="D20" s="557" t="s">
        <x:v>378</x:v>
      </x:c>
    </x:row>
    <x:row r="21" spans="1:4">
      <x:c r="A21" s="32">
        <x:v>20</x:v>
      </x:c>
      <x:c r="B21" s="576" t="s">
        <x:v>223</x:v>
      </x:c>
      <x:c r="C21" s="576" t="s">
        <x:v>184</x:v>
      </x:c>
      <x:c r="D21" s="616" t="s">
        <x:v>375</x:v>
      </x:c>
    </x:row>
    <x:row r="22" spans="1:4">
      <x:c r="A22" s="32">
        <x:v>21</x:v>
      </x:c>
      <x:c r="B22" s="72" t="s">
        <x:v>347</x:v>
      </x:c>
      <x:c r="C22" s="72" t="s">
        <x:v>172</x:v>
      </x:c>
      <x:c r="D22" s="126" t="s">
        <x:v>378</x:v>
      </x:c>
    </x:row>
    <x:row r="23" spans="1:4">
      <x:c r="A23" s="32">
        <x:v>22</x:v>
      </x:c>
      <x:c r="B23" s="72" t="s">
        <x:v>212</x:v>
      </x:c>
      <x:c r="C23" s="71" t="s">
        <x:v>237</x:v>
      </x:c>
      <x:c r="D23" s="166" t="s">
        <x:v>375</x:v>
      </x:c>
    </x:row>
    <x:row r="24" spans="1:4" ht="16.75">
      <x:c r="A24" s="32">
        <x:v>23</x:v>
      </x:c>
      <x:c r="B24" s="617" t="s">
        <x:v>353</x:v>
      </x:c>
      <x:c r="C24" s="618" t="s">
        <x:v>367</x:v>
      </x:c>
      <x:c r="D24" s="619" t="s">
        <x:v>375</x:v>
      </x:c>
    </x:row>
    <x:row r="25" spans="1:4">
      <x:c r="A25" s="32">
        <x:v>24</x:v>
      </x:c>
      <x:c r="B25" s="173" t="s">
        <x:v>168</x:v>
      </x:c>
      <x:c r="C25" s="72" t="s">
        <x:v>218</x:v>
      </x:c>
      <x:c r="D25" s="180" t="s">
        <x:v>375</x:v>
      </x:c>
    </x:row>
    <x:row r="26" spans="1:4">
      <x:c r="A26" s="32">
        <x:v>25</x:v>
      </x:c>
      <x:c r="B26" s="620" t="s">
        <x:v>396</x:v>
      </x:c>
      <x:c r="C26" s="621" t="s">
        <x:v>275</x:v>
      </x:c>
      <x:c r="D26" s="622" t="s">
        <x:v>375</x:v>
      </x:c>
    </x:row>
    <x:row r="27" spans="1:4">
      <x:c r="A27" s="32">
        <x:v>26</x:v>
      </x:c>
      <x:c r="B27" s="623" t="s">
        <x:v>396</x:v>
      </x:c>
      <x:c r="C27" s="624" t="s">
        <x:v>237</x:v>
      </x:c>
      <x:c r="D27" s="625" t="s">
        <x:v>375</x:v>
      </x:c>
    </x:row>
    <x:row r="28" spans="1:4">
      <x:c r="A28" s="32">
        <x:v>27</x:v>
      </x:c>
      <x:c r="B28" s="173" t="s">
        <x:v>241</x:v>
      </x:c>
      <x:c r="C28" s="53" t="s">
        <x:v>159</x:v>
      </x:c>
      <x:c r="D28" s="187" t="s">
        <x:v>375</x:v>
      </x:c>
    </x:row>
    <x:row r="29" spans="1:4">
      <x:c r="A29" s="32">
        <x:v>28</x:v>
      </x:c>
      <x:c r="B29" s="53" t="s">
        <x:v>342</x:v>
      </x:c>
      <x:c r="C29" s="72" t="s">
        <x:v>275</x:v>
      </x:c>
      <x:c r="D29" s="166" t="s">
        <x:v>378</x:v>
      </x:c>
    </x:row>
    <x:row r="30" spans="1:4">
      <x:c r="A30" s="32">
        <x:v>29</x:v>
      </x:c>
      <x:c r="B30" s="72" t="s">
        <x:v>280</x:v>
      </x:c>
      <x:c r="C30" s="71" t="s">
        <x:v>218</x:v>
      </x:c>
      <x:c r="D30" s="166" t="s">
        <x:v>375</x:v>
      </x:c>
    </x:row>
    <x:row r="31" spans="1:4">
      <x:c r="A31" s="32">
        <x:v>30</x:v>
      </x:c>
      <x:c r="B31" s="183" t="s">
        <x:v>242</x:v>
      </x:c>
      <x:c r="C31" s="183" t="s">
        <x:v>312</x:v>
      </x:c>
      <x:c r="D31" s="287" t="s">
        <x:v>378</x:v>
      </x:c>
    </x:row>
    <x:row r="32" spans="1:4">
      <x:c r="A32" s="32">
        <x:v>31</x:v>
      </x:c>
      <x:c r="B32" s="72" t="s">
        <x:v>352</x:v>
      </x:c>
      <x:c r="C32" s="53" t="s">
        <x:v>275</x:v>
      </x:c>
      <x:c r="D32" s="187" t="s">
        <x:v>375</x:v>
      </x:c>
    </x:row>
    <x:row r="33" spans="1:4">
      <x:c r="A33" s="32">
        <x:v>32</x:v>
      </x:c>
      <x:c r="B33" s="72" t="s">
        <x:v>368</x:v>
      </x:c>
      <x:c r="C33" s="53" t="s">
        <x:v>218</x:v>
      </x:c>
      <x:c r="D33" s="187" t="s">
        <x:v>378</x:v>
      </x:c>
    </x:row>
    <x:row r="34" spans="1:4">
      <x:c r="A34" s="32">
        <x:v>33</x:v>
      </x:c>
      <x:c r="B34" s="72" t="s">
        <x:v>200</x:v>
      </x:c>
      <x:c r="C34" s="72" t="s">
        <x:v>159</x:v>
      </x:c>
      <x:c r="D34" s="180" t="s">
        <x:v>378</x:v>
      </x:c>
    </x:row>
    <x:row r="35" spans="1:4" ht="16.75">
      <x:c r="A35" s="32">
        <x:v>34</x:v>
      </x:c>
      <x:c r="B35" s="626" t="s">
        <x:v>249</x:v>
      </x:c>
      <x:c r="C35" s="73" t="s">
        <x:v>246</x:v>
      </x:c>
      <x:c r="D35" s="243" t="s">
        <x:v>378</x:v>
      </x:c>
    </x:row>
    <x:row r="36" spans="1:4">
      <x:c r="A36" s="32">
        <x:v>35</x:v>
      </x:c>
      <x:c r="B36" s="72" t="s">
        <x:v>240</x:v>
      </x:c>
      <x:c r="C36" s="627" t="s">
        <x:v>218</x:v>
      </x:c>
      <x:c r="D36" s="628" t="s">
        <x:v>378</x:v>
      </x:c>
    </x:row>
    <x:row r="37" spans="1:4">
      <x:c r="A37" s="32">
        <x:v>36</x:v>
      </x:c>
      <x:c r="B37" s="72" t="s">
        <x:v>360</x:v>
      </x:c>
      <x:c r="C37" s="572" t="s">
        <x:v>184</x:v>
      </x:c>
      <x:c r="D37" s="577" t="s">
        <x:v>375</x:v>
      </x:c>
    </x:row>
    <x:row r="38" spans="1:4">
      <x:c r="A38" s="32">
        <x:v>37</x:v>
      </x:c>
      <x:c r="B38" s="53" t="s">
        <x:v>360</x:v>
      </x:c>
      <x:c r="C38" s="53" t="s">
        <x:v>184</x:v>
      </x:c>
      <x:c r="D38" s="166" t="s">
        <x:v>375</x:v>
      </x:c>
    </x:row>
    <x:row r="39" spans="1:4">
      <x:c r="A39" s="32">
        <x:v>38</x:v>
      </x:c>
      <x:c r="B39" s="50" t="s">
        <x:v>336</x:v>
      </x:c>
      <x:c r="C39" s="50" t="s">
        <x:v>172</x:v>
      </x:c>
      <x:c r="D39" s="50" t="s">
        <x:v>378</x:v>
      </x:c>
    </x:row>
    <x:row r="40" spans="1:4">
      <x:c r="A40" s="32">
        <x:v>39</x:v>
      </x:c>
      <x:c r="B40" s="573" t="s">
        <x:v>343</x:v>
      </x:c>
      <x:c r="C40" s="270" t="s">
        <x:v>159</x:v>
      </x:c>
      <x:c r="D40" s="574" t="s">
        <x:v>375</x:v>
      </x:c>
    </x:row>
    <x:row r="41" spans="1:4">
      <x:c r="A41" s="32">
        <x:v>40</x:v>
      </x:c>
      <x:c r="B41" s="575" t="s">
        <x:v>355</x:v>
      </x:c>
      <x:c r="C41" s="183" t="s">
        <x:v>367</x:v>
      </x:c>
      <x:c r="D41" s="200" t="s">
        <x:v>378</x:v>
      </x:c>
    </x:row>
    <x:row r="42" spans="1:4">
      <x:c r="A42" s="32">
        <x:v>41</x:v>
      </x:c>
      <x:c r="B42" s="252" t="s">
        <x:v>190</x:v>
      </x:c>
      <x:c r="C42" s="53" t="s">
        <x:v>218</x:v>
      </x:c>
      <x:c r="D42" s="175" t="s">
        <x:v>378</x:v>
      </x:c>
    </x:row>
    <x:row r="43" spans="1:4">
      <x:c r="A43" s="32">
        <x:v>42</x:v>
      </x:c>
      <x:c r="B43" s="320" t="s">
        <x:v>201</x:v>
      </x:c>
      <x:c r="C43" s="50" t="s">
        <x:v>218</x:v>
      </x:c>
      <x:c r="D43" s="42" t="s">
        <x:v>375</x:v>
      </x:c>
    </x:row>
    <x:row r="44" spans="1:4" ht="16.75">
      <x:c r="A44" s="32">
        <x:v>43</x:v>
      </x:c>
      <x:c r="B44" s="630" t="s">
        <x:v>215</x:v>
      </x:c>
      <x:c r="C44" s="631" t="s">
        <x:v>159</x:v>
      </x:c>
      <x:c r="D44" s="632" t="s">
        <x:v>378</x:v>
      </x:c>
    </x:row>
    <x:row r="45" spans="1:4">
      <x:c r="A45" s="32">
        <x:v>44</x:v>
      </x:c>
      <x:c r="B45" s="185" t="s">
        <x:v>161</x:v>
      </x:c>
      <x:c r="C45" s="185" t="s">
        <x:v>237</x:v>
      </x:c>
      <x:c r="D45" s="186" t="s">
        <x:v>375</x:v>
      </x:c>
    </x:row>
    <x:row r="46" spans="1:4" ht="16.75">
      <x:c r="A46" s="32">
        <x:v>45</x:v>
      </x:c>
      <x:c r="B46" s="55" t="s">
        <x:v>179</x:v>
      </x:c>
      <x:c r="C46" s="57" t="s">
        <x:v>275</x:v>
      </x:c>
      <x:c r="D46" s="241" t="s">
        <x:v>375</x:v>
      </x:c>
    </x:row>
    <x:row r="47" spans="1:4">
      <x:c r="A47" s="32">
        <x:v>46</x:v>
      </x:c>
      <x:c r="B47" s="72" t="s">
        <x:v>294</x:v>
      </x:c>
      <x:c r="C47" s="72" t="s">
        <x:v>275</x:v>
      </x:c>
      <x:c r="D47" s="323" t="s">
        <x:v>375</x:v>
      </x:c>
    </x:row>
    <x:row r="48" spans="1:4">
      <x:c r="A48" s="32">
        <x:v>47</x:v>
      </x:c>
      <x:c r="B48" s="192" t="s">
        <x:v>402</x:v>
      </x:c>
      <x:c r="C48" s="190" t="s">
        <x:v>275</x:v>
      </x:c>
      <x:c r="D48" s="191" t="s">
        <x:v>375</x:v>
      </x:c>
    </x:row>
    <x:row r="49" spans="1:4">
      <x:c r="A49" s="32">
        <x:v>48</x:v>
      </x:c>
      <x:c r="B49" s="205" t="s">
        <x:v>225</x:v>
      </x:c>
      <x:c r="C49" s="66" t="s">
        <x:v>159</x:v>
      </x:c>
      <x:c r="D49" s="187" t="s">
        <x:v>378</x:v>
      </x:c>
    </x:row>
    <x:row r="50" spans="1:4">
      <x:c r="A50" s="32">
        <x:v>49</x:v>
      </x:c>
      <x:c r="B50" s="633" t="s">
        <x:v>340</x:v>
      </x:c>
      <x:c r="C50" s="183" t="s">
        <x:v>159</x:v>
      </x:c>
      <x:c r="D50" s="184" t="s">
        <x:v>378</x:v>
      </x:c>
    </x:row>
    <x:row r="51" spans="1:4" ht="16.75">
      <x:c r="A51" s="32">
        <x:v>50</x:v>
      </x:c>
      <x:c r="B51" s="192" t="s">
        <x:v>381</x:v>
      </x:c>
      <x:c r="C51" s="374" t="s">
        <x:v>367</x:v>
      </x:c>
      <x:c r="D51" s="557" t="s">
        <x:v>375</x:v>
      </x:c>
    </x:row>
    <x:row r="52" spans="1:4">
      <x:c r="A52" s="32">
        <x:v>51</x:v>
      </x:c>
      <x:c r="B52" s="192" t="s">
        <x:v>361</x:v>
      </x:c>
      <x:c r="C52" s="192" t="s">
        <x:v>367</x:v>
      </x:c>
      <x:c r="D52" s="563" t="s">
        <x:v>375</x:v>
      </x:c>
    </x:row>
    <x:row r="53" spans="1:4">
      <x:c r="A53" s="32">
        <x:v>52</x:v>
      </x:c>
      <x:c r="B53" s="53" t="s">
        <x:v>176</x:v>
      </x:c>
      <x:c r="C53" s="53" t="s">
        <x:v>159</x:v>
      </x:c>
      <x:c r="D53" s="175" t="s">
        <x:v>378</x:v>
      </x:c>
    </x:row>
    <x:row r="54" spans="1:4">
      <x:c r="A54" s="32">
        <x:v>53</x:v>
      </x:c>
      <x:c r="B54" s="72" t="s">
        <x:v>321</x:v>
      </x:c>
      <x:c r="C54" s="72" t="s">
        <x:v>184</x:v>
      </x:c>
      <x:c r="D54" s="207" t="s">
        <x:v>375</x:v>
      </x:c>
    </x:row>
    <x:row r="55" spans="1:4" ht="16.75">
      <x:c r="A55" s="32">
        <x:v>54</x:v>
      </x:c>
      <x:c r="B55" s="322" t="s">
        <x:v>183</x:v>
      </x:c>
      <x:c r="C55" s="63" t="s">
        <x:v>367</x:v>
      </x:c>
      <x:c r="D55" s="241" t="s">
        <x:v>375</x:v>
      </x:c>
    </x:row>
    <x:row r="56" spans="1:4">
      <x:c r="A56" s="32">
        <x:v>55</x:v>
      </x:c>
      <x:c r="B56" s="629" t="s">
        <x:v>371</x:v>
      </x:c>
      <x:c r="C56" s="192" t="s">
        <x:v>172</x:v>
      </x:c>
      <x:c r="D56" s="413" t="s">
        <x:v>375</x:v>
      </x:c>
    </x:row>
    <x:row r="57" spans="1:4">
      <x:c r="A57" s="32">
        <x:v>56</x:v>
      </x:c>
      <x:c r="B57" s="205" t="s">
        <x:v>403</x:v>
      </x:c>
      <x:c r="C57" s="183" t="s">
        <x:v>184</x:v>
      </x:c>
      <x:c r="D57" s="287" t="s">
        <x:v>375</x:v>
      </x:c>
    </x:row>
    <x:row r="58" spans="1:4">
      <x:c r="A58" s="32">
        <x:v>57</x:v>
      </x:c>
      <x:c r="B58" s="50" t="s">
        <x:v>391</x:v>
      </x:c>
      <x:c r="C58" s="42" t="s">
        <x:v>172</x:v>
      </x:c>
      <x:c r="D58" s="42" t="s">
        <x:v>375</x:v>
      </x:c>
    </x:row>
    <x:row r="59" spans="1:4">
      <x:c r="A59" s="32">
        <x:v>58</x:v>
      </x:c>
      <x:c r="B59" s="50" t="s">
        <x:v>358</x:v>
      </x:c>
      <x:c r="C59" s="50" t="s">
        <x:v>237</x:v>
      </x:c>
      <x:c r="D59" s="42" t="s">
        <x:v>378</x:v>
      </x:c>
    </x:row>
    <x:row r="60" spans="1:4" ht="16.75">
      <x:c r="A60" s="32">
        <x:v>59</x:v>
      </x:c>
      <x:c r="B60" s="634" t="s">
        <x:v>196</x:v>
      </x:c>
      <x:c r="C60" s="635" t="s">
        <x:v>159</x:v>
      </x:c>
      <x:c r="D60" s="636" t="s">
        <x:v>375</x:v>
      </x:c>
    </x:row>
    <x:row r="61" spans="1:4">
      <x:c r="A61" s="32">
        <x:v>60</x:v>
      </x:c>
      <x:c r="B61" s="637" t="s">
        <x:v>401</x:v>
      </x:c>
      <x:c r="C61" s="471" t="s">
        <x:v>218</x:v>
      </x:c>
      <x:c r="D61" s="580" t="s">
        <x:v>375</x:v>
      </x:c>
    </x:row>
    <x:row r="62" spans="1:4">
      <x:c r="A62" s="32">
        <x:v>61</x:v>
      </x:c>
      <x:c r="B62" s="638" t="s">
        <x:v>357</x:v>
      </x:c>
      <x:c r="C62" s="208" t="s">
        <x:v>172</x:v>
      </x:c>
      <x:c r="D62" s="315" t="s">
        <x:v>375</x:v>
      </x:c>
    </x:row>
    <x:row r="63" spans="1:4" ht="16.75">
      <x:c r="A63" s="32">
        <x:v>62</x:v>
      </x:c>
      <x:c r="B63" s="55" t="s">
        <x:v>173</x:v>
      </x:c>
      <x:c r="C63" s="55" t="s">
        <x:v>275</x:v>
      </x:c>
      <x:c r="D63" s="639" t="s">
        <x:v>375</x:v>
      </x:c>
    </x:row>
    <x:row r="64" spans="1:4">
      <x:c r="A64" s="32">
        <x:v>63</x:v>
      </x:c>
      <x:c r="B64" s="72" t="s">
        <x:v>257</x:v>
      </x:c>
      <x:c r="C64" s="72" t="s">
        <x:v>237</x:v>
      </x:c>
      <x:c r="D64" s="72" t="s">
        <x:v>375</x:v>
      </x:c>
    </x:row>
    <x:row r="65" spans="1:4">
      <x:c r="A65" s="32">
        <x:v>64</x:v>
      </x:c>
      <x:c r="B65" s="192" t="s">
        <x:v>399</x:v>
      </x:c>
      <x:c r="C65" s="192" t="s">
        <x:v>159</x:v>
      </x:c>
      <x:c r="D65" s="190" t="s">
        <x:v>375</x:v>
      </x:c>
    </x:row>
    <x:row r="66" spans="1:4">
      <x:c r="A66" s="32">
        <x:v>65</x:v>
      </x:c>
      <x:c r="B66" s="72" t="s">
        <x:v>193</x:v>
      </x:c>
      <x:c r="C66" s="53" t="s">
        <x:v>159</x:v>
      </x:c>
      <x:c r="D66" s="187" t="s">
        <x:v>378</x:v>
      </x:c>
    </x:row>
    <x:row r="67" spans="1:4">
      <x:c r="A67" s="32">
        <x:v>66</x:v>
      </x:c>
      <x:c r="B67" s="72" t="s">
        <x:v>228</x:v>
      </x:c>
      <x:c r="C67" s="72" t="s">
        <x:v>237</x:v>
      </x:c>
      <x:c r="D67" s="53" t="s">
        <x:v>375</x:v>
      </x:c>
    </x:row>
    <x:row r="68" spans="1:4">
      <x:c r="A68" s="32">
        <x:v>67</x:v>
      </x:c>
      <x:c r="B68" s="72" t="s">
        <x:v>346</x:v>
      </x:c>
      <x:c r="C68" s="72" t="s">
        <x:v>275</x:v>
      </x:c>
      <x:c r="D68" s="640" t="s">
        <x:v>378</x:v>
      </x:c>
    </x:row>
    <x:row r="69" spans="1:4">
      <x:c r="A69" s="32">
        <x:v>68</x:v>
      </x:c>
      <x:c r="B69" s="61" t="s">
        <x:v>346</x:v>
      </x:c>
      <x:c r="C69" s="61" t="s">
        <x:v>275</x:v>
      </x:c>
      <x:c r="D69" s="62" t="s">
        <x:v>378</x:v>
      </x:c>
    </x:row>
    <x:row r="70" spans="1:4">
      <x:c r="A70" s="32">
        <x:v>69</x:v>
      </x:c>
      <x:c r="B70" s="320" t="s">
        <x:v>380</x:v>
      </x:c>
      <x:c r="C70" s="320" t="s">
        <x:v>275</x:v>
      </x:c>
      <x:c r="D70" s="181" t="s">
        <x:v>375</x:v>
      </x:c>
    </x:row>
    <x:row r="71" spans="1:4">
      <x:c r="A71" s="32">
        <x:v>70</x:v>
      </x:c>
      <x:c r="B71" s="342" t="s">
        <x:v>365</x:v>
      </x:c>
      <x:c r="C71" s="343" t="s">
        <x:v>172</x:v>
      </x:c>
      <x:c r="D71" s="344" t="s">
        <x:v>375</x:v>
      </x:c>
    </x:row>
    <x:row r="72" spans="1:4">
      <x:c r="A72" s="32">
        <x:v>71</x:v>
      </x:c>
      <x:c r="B72" s="201" t="s">
        <x:v>220</x:v>
      </x:c>
      <x:c r="C72" s="71" t="s">
        <x:v>159</x:v>
      </x:c>
      <x:c r="D72" s="187" t="s">
        <x:v>375</x:v>
      </x:c>
    </x:row>
    <x:row r="73" spans="1:4">
      <x:c r="A73" s="32">
        <x:v>72</x:v>
      </x:c>
      <x:c r="B73" s="562" t="s">
        <x:v>194</x:v>
      </x:c>
      <x:c r="C73" s="185" t="s">
        <x:v>172</x:v>
      </x:c>
      <x:c r="D73" s="186" t="s">
        <x:v>378</x:v>
      </x:c>
    </x:row>
    <x:row r="74" spans="1:4">
      <x:c r="A74" s="32">
        <x:v>73</x:v>
      </x:c>
      <x:c r="B74" s="61" t="s">
        <x:v>387</x:v>
      </x:c>
      <x:c r="C74" s="77" t="s">
        <x:v>367</x:v>
      </x:c>
      <x:c r="D74" s="203" t="s">
        <x:v>378</x:v>
      </x:c>
    </x:row>
    <x:row r="75" spans="1:4" ht="16.75">
      <x:c r="A75" s="32">
        <x:v>74</x:v>
      </x:c>
      <x:c r="B75" s="206" t="s">
        <x:v>374</x:v>
      </x:c>
      <x:c r="C75" s="57" t="s">
        <x:v>218</x:v>
      </x:c>
      <x:c r="D75" s="241" t="s">
        <x:v>375</x:v>
      </x:c>
    </x:row>
    <x:row r="76" spans="1:4">
      <x:c r="A76" s="32">
        <x:v>75</x:v>
      </x:c>
      <x:c r="B76" s="201" t="s">
        <x:v>374</x:v>
      </x:c>
      <x:c r="C76" s="71" t="s">
        <x:v>218</x:v>
      </x:c>
      <x:c r="D76" s="166" t="s">
        <x:v>375</x:v>
      </x:c>
    </x:row>
    <x:row r="77" spans="1:4">
      <x:c r="A77" s="32">
        <x:v>76</x:v>
      </x:c>
      <x:c r="B77" s="265" t="s">
        <x:v>163</x:v>
      </x:c>
      <x:c r="C77" s="50" t="s">
        <x:v>221</x:v>
      </x:c>
      <x:c r="D77" s="203" t="s">
        <x:v>375</x:v>
      </x:c>
    </x:row>
    <x:row r="78" spans="1:4">
      <x:c r="A78" s="32">
        <x:v>77</x:v>
      </x:c>
      <x:c r="B78" s="257" t="s">
        <x:v>392</x:v>
      </x:c>
      <x:c r="C78" s="50" t="s">
        <x:v>172</x:v>
      </x:c>
      <x:c r="D78" s="254" t="s">
        <x:v>375</x:v>
      </x:c>
    </x:row>
    <x:row r="79" spans="1:4" ht="16.75">
      <x:c r="A79" s="32">
        <x:v>78</x:v>
      </x:c>
      <x:c r="B79" s="256" t="s">
        <x:v>188</x:v>
      </x:c>
      <x:c r="C79" s="88" t="s">
        <x:v>275</x:v>
      </x:c>
      <x:c r="D79" s="641" t="s">
        <x:v>375</x:v>
      </x:c>
    </x:row>
    <x:row r="80" spans="1:4" ht="16.75">
      <x:c r="A80" s="32">
        <x:v>79</x:v>
      </x:c>
      <x:c r="B80" s="566" t="s">
        <x:v>382</x:v>
      </x:c>
      <x:c r="C80" s="325" t="s">
        <x:v>237</x:v>
      </x:c>
      <x:c r="D80" s="261" t="s">
        <x:v>375</x:v>
      </x:c>
    </x:row>
    <x:row r="81" spans="1:4">
      <x:c r="A81" s="32">
        <x:v>80</x:v>
      </x:c>
      <x:c r="B81" s="201" t="s">
        <x:v>271</x:v>
      </x:c>
      <x:c r="C81" s="71" t="s">
        <x:v>159</x:v>
      </x:c>
      <x:c r="D81" s="166" t="s">
        <x:v>375</x:v>
      </x:c>
    </x:row>
    <x:row r="82" spans="1:4">
      <x:c r="A82" s="32">
        <x:v>81</x:v>
      </x:c>
      <x:c r="B82" s="257" t="s">
        <x:v>301</x:v>
      </x:c>
      <x:c r="C82" s="50" t="s">
        <x:v>367</x:v>
      </x:c>
      <x:c r="D82" s="254" t="s">
        <x:v>375</x:v>
      </x:c>
    </x:row>
    <x:row r="83" spans="1:4">
      <x:c r="A83" s="32">
        <x:v>82</x:v>
      </x:c>
      <x:c r="B83" s="209" t="s">
        <x:v>383</x:v>
      </x:c>
      <x:c r="C83" s="168" t="s">
        <x:v>172</x:v>
      </x:c>
      <x:c r="D83" s="315" t="s">
        <x:v>378</x:v>
      </x:c>
    </x:row>
    <x:row r="84" spans="1:4" ht="16.75">
      <x:c r="A84" s="32">
        <x:v>83</x:v>
      </x:c>
      <x:c r="B84" s="642" t="s">
        <x:v>186</x:v>
      </x:c>
      <x:c r="C84" s="643" t="s">
        <x:v>172</x:v>
      </x:c>
      <x:c r="D84" s="644" t="s">
        <x:v>378</x:v>
      </x:c>
    </x:row>
    <x:row r="85" spans="1:4" ht="16.75">
      <x:c r="A85" s="32">
        <x:v>84</x:v>
      </x:c>
      <x:c r="B85" s="326" t="s">
        <x:v>308</x:v>
      </x:c>
      <x:c r="C85" s="260" t="s">
        <x:v>172</x:v>
      </x:c>
      <x:c r="D85" s="261" t="s">
        <x:v>378</x:v>
      </x:c>
    </x:row>
    <x:row r="86" spans="1:4">
      <x:c r="A86" s="32">
        <x:v>85</x:v>
      </x:c>
      <x:c r="B86" s="564" t="s">
        <x:v>177</x:v>
      </x:c>
      <x:c r="C86" s="61" t="s">
        <x:v>237</x:v>
      </x:c>
      <x:c r="D86" s="203" t="s">
        <x:v>378</x:v>
      </x:c>
    </x:row>
    <x:row r="87" spans="1:4">
      <x:c r="A87" s="32">
        <x:v>86</x:v>
      </x:c>
      <x:c r="B87" s="53" t="s">
        <x:v>397</x:v>
      </x:c>
      <x:c r="C87" s="53" t="s">
        <x:v>275</x:v>
      </x:c>
      <x:c r="D87" s="166" t="s">
        <x:v>378</x:v>
      </x:c>
    </x:row>
    <x:row r="88" spans="1:4" ht="16.75">
      <x:c r="A88" s="32">
        <x:v>87</x:v>
      </x:c>
      <x:c r="B88" s="202" t="s">
        <x:v>385</x:v>
      </x:c>
      <x:c r="C88" s="164" t="s">
        <x:v>172</x:v>
      </x:c>
      <x:c r="D88" s="316" t="s">
        <x:v>375</x:v>
      </x:c>
    </x:row>
    <x:row r="89" spans="1:4">
      <x:c r="A89" s="32">
        <x:v>88</x:v>
      </x:c>
      <x:c r="B89" s="252" t="s">
        <x:v>264</x:v>
      </x:c>
      <x:c r="C89" s="53" t="s">
        <x:v>172</x:v>
      </x:c>
      <x:c r="D89" s="175" t="s">
        <x:v>378</x:v>
      </x:c>
    </x:row>
    <x:row r="90" spans="1:4">
      <x:c r="A90" s="32">
        <x:v>89</x:v>
      </x:c>
      <x:c r="B90" s="281" t="s">
        <x:v>169</x:v>
      </x:c>
      <x:c r="C90" s="282" t="s">
        <x:v>367</x:v>
      </x:c>
      <x:c r="D90" s="645" t="s">
        <x:v>375</x:v>
      </x:c>
    </x:row>
    <x:row r="91" spans="1:4">
      <x:c r="A91" s="32">
        <x:v>90</x:v>
      </x:c>
      <x:c r="B91" s="72" t="s">
        <x:v>178</x:v>
      </x:c>
      <x:c r="C91" s="72" t="s">
        <x:v>184</x:v>
      </x:c>
      <x:c r="D91" s="126" t="s">
        <x:v>375</x:v>
      </x:c>
    </x:row>
    <x:row r="92" spans="1:4" ht="16.75">
      <x:c r="A92" s="32">
        <x:v>91</x:v>
      </x:c>
      <x:c r="B92" s="229" t="s">
        <x:v>356</x:v>
      </x:c>
      <x:c r="C92" s="229" t="s">
        <x:v>159</x:v>
      </x:c>
      <x:c r="D92" s="242" t="s">
        <x:v>378</x:v>
      </x:c>
    </x:row>
    <x:row r="93" spans="1:4">
      <x:c r="A93" s="32">
        <x:v>92</x:v>
      </x:c>
      <x:c r="B93" s="53" t="s">
        <x:v>377</x:v>
      </x:c>
      <x:c r="C93" s="53" t="s">
        <x:v>218</x:v>
      </x:c>
      <x:c r="D93" s="166" t="s">
        <x:v>378</x:v>
      </x:c>
    </x:row>
    <x:row r="94" spans="1:4">
      <x:c r="A94" s="32">
        <x:v>93</x:v>
      </x:c>
      <x:c r="B94" s="53" t="s">
        <x:v>341</x:v>
      </x:c>
      <x:c r="C94" s="53" t="s">
        <x:v>221</x:v>
      </x:c>
      <x:c r="D94" s="166" t="s">
        <x:v>375</x:v>
      </x:c>
    </x:row>
    <x:row r="95" spans="1:4">
      <x:c r="A95" s="32">
        <x:v>94</x:v>
      </x:c>
      <x:c r="B95" s="72" t="s">
        <x:v>207</x:v>
      </x:c>
      <x:c r="C95" s="53" t="s">
        <x:v>172</x:v>
      </x:c>
      <x:c r="D95" s="187" t="s">
        <x:v>378</x:v>
      </x:c>
    </x:row>
    <x:row r="96" spans="1:15">
      <x:c r="A96" s="32">
        <x:v>95</x:v>
      </x:c>
      <x:c r="B96" s="257" t="s">
        <x:v>229</x:v>
      </x:c>
      <x:c r="C96" s="50" t="s">
        <x:v>312</x:v>
      </x:c>
      <x:c r="D96" s="254" t="s">
        <x:v>375</x:v>
      </x:c>
      <x:c r="I96" s="452"/>
      <x:c r="J96" s="663"/>
      <x:c r="K96" s="663"/>
      <x:c r="L96" s="663"/>
      <x:c r="M96" s="663"/>
      <x:c r="N96" s="452"/>
      <x:c r="O96" s="452"/>
    </x:row>
    <x:row r="97" spans="1:15" ht="16.75">
      <x:c r="A97" s="32">
        <x:v>96</x:v>
      </x:c>
      <x:c r="B97" s="55" t="s">
        <x:v>250</x:v>
      </x:c>
      <x:c r="C97" s="57" t="s">
        <x:v>367</x:v>
      </x:c>
      <x:c r="D97" s="241" t="s">
        <x:v>375</x:v>
      </x:c>
      <x:c r="I97" s="452"/>
      <x:c r="J97" s="663"/>
      <x:c r="K97" s="663" t="s">
        <x:v>319</x:v>
      </x:c>
      <x:c r="L97" s="663" t="s">
        <x:v>300</x:v>
      </x:c>
      <x:c r="M97" s="663" t="s">
        <x:v>339</x:v>
      </x:c>
      <x:c r="N97" s="452"/>
      <x:c r="O97" s="452"/>
    </x:row>
    <x:row r="98" spans="1:15">
      <x:c r="A98" s="32">
        <x:v>97</x:v>
      </x:c>
      <x:c r="B98" s="646" t="s">
        <x:v>373</x:v>
      </x:c>
      <x:c r="C98" s="227" t="s">
        <x:v>172</x:v>
      </x:c>
      <x:c r="D98" s="228" t="s">
        <x:v>378</x:v>
      </x:c>
      <x:c r="I98" s="452"/>
      <x:c r="J98" s="663" t="s">
        <x:v>270</x:v>
      </x:c>
      <x:c r="K98" s="1339">
        <x:f>M98/L98</x:f>
        <x:v>26666.666666666668</x:v>
      </x:c>
      <x:c r="L98" s="663">
        <x:v>24</x:v>
      </x:c>
      <x:c r="M98" s="663">
        <x:v>640000</x:v>
      </x:c>
      <x:c r="N98" s="452"/>
      <x:c r="O98" s="452"/>
    </x:row>
    <x:row r="99" spans="1:15">
      <x:c r="A99" s="32">
        <x:v>98</x:v>
      </x:c>
      <x:c r="B99" s="72" t="s">
        <x:v>206</x:v>
      </x:c>
      <x:c r="C99" s="77" t="s">
        <x:v>159</x:v>
      </x:c>
      <x:c r="D99" s="254" t="s">
        <x:v>378</x:v>
      </x:c>
      <x:c r="I99" s="452"/>
      <x:c r="J99" s="663" t="s">
        <x:v>254</x:v>
      </x:c>
      <x:c r="K99" s="1339"/>
      <x:c r="L99" s="663">
        <x:v>24</x:v>
      </x:c>
      <x:c r="M99" s="663">
        <x:v>640000</x:v>
      </x:c>
      <x:c r="N99" s="452"/>
      <x:c r="O99" s="452"/>
    </x:row>
    <x:row r="100" spans="1:15" ht="16.75">
      <x:c r="A100" s="32">
        <x:v>99</x:v>
      </x:c>
      <x:c r="B100" s="123" t="s">
        <x:v>376</x:v>
      </x:c>
      <x:c r="C100" s="57" t="s">
        <x:v>184</x:v>
      </x:c>
      <x:c r="D100" s="204" t="s">
        <x:v>378</x:v>
      </x:c>
      <x:c r="I100" s="452"/>
      <x:c r="J100" s="663"/>
      <x:c r="K100" s="663"/>
      <x:c r="L100" s="663"/>
      <x:c r="M100" s="663"/>
      <x:c r="N100" s="452"/>
      <x:c r="O100" s="452"/>
    </x:row>
    <x:row r="101" spans="1:15">
      <x:c r="A101" s="32">
        <x:v>100</x:v>
      </x:c>
      <x:c r="B101" s="647" t="s">
        <x:v>239</x:v>
      </x:c>
      <x:c r="C101" s="363" t="s">
        <x:v>275</x:v>
      </x:c>
      <x:c r="D101" s="365" t="s">
        <x:v>378</x:v>
      </x:c>
      <x:c r="I101" s="452"/>
      <x:c r="J101" s="663"/>
      <x:c r="K101" s="663" t="s">
        <x:v>318</x:v>
      </x:c>
      <x:c r="L101" s="663" t="s">
        <x:v>230</x:v>
      </x:c>
      <x:c r="M101" s="663"/>
      <x:c r="N101" s="452"/>
      <x:c r="O101" s="452"/>
    </x:row>
    <x:row r="102" spans="1:15">
      <x:c r="A102" s="32">
        <x:v>101</x:v>
      </x:c>
      <x:c r="B102" s="370" t="s">
        <x:v>370</x:v>
      </x:c>
      <x:c r="C102" s="190" t="s">
        <x:v>275</x:v>
      </x:c>
      <x:c r="D102" s="191" t="s">
        <x:v>375</x:v>
      </x:c>
      <x:c r="I102" s="452"/>
      <x:c r="J102" s="663"/>
      <x:c r="K102" s="1339">
        <x:v>25000</x:v>
      </x:c>
      <x:c r="L102" s="663">
        <x:v>8</x:v>
      </x:c>
      <x:c r="M102" s="663">
        <x:f>K102*L102</x:f>
        <x:v>200000</x:v>
      </x:c>
      <x:c r="N102" s="452"/>
      <x:c r="O102" s="452"/>
    </x:row>
    <x:row r="103" spans="1:15">
      <x:c r="A103" s="32">
        <x:v>102</x:v>
      </x:c>
      <x:c r="B103" s="90" t="s">
        <x:v>236</x:v>
      </x:c>
      <x:c r="C103" s="72" t="s">
        <x:v>312</x:v>
      </x:c>
      <x:c r="D103" s="180" t="s">
        <x:v>378</x:v>
      </x:c>
      <x:c r="I103" s="452"/>
      <x:c r="J103" s="663"/>
      <x:c r="K103" s="1339"/>
      <x:c r="L103" s="663">
        <x:v>8</x:v>
      </x:c>
      <x:c r="M103" s="663">
        <x:f>K102*L103</x:f>
        <x:v>200000</x:v>
      </x:c>
      <x:c r="N103" s="452"/>
      <x:c r="O103" s="452"/>
    </x:row>
    <x:row r="104" spans="1:15">
      <x:c r="A104" s="32">
        <x:v>103</x:v>
      </x:c>
      <x:c r="B104" s="564" t="s">
        <x:v>165</x:v>
      </x:c>
      <x:c r="C104" s="53" t="s">
        <x:v>184</x:v>
      </x:c>
      <x:c r="D104" s="187" t="s">
        <x:v>375</x:v>
      </x:c>
      <x:c r="I104" s="452"/>
      <x:c r="J104" s="663"/>
      <x:c r="K104" s="663" t="s">
        <x:v>273</x:v>
      </x:c>
      <x:c r="L104" s="663"/>
      <x:c r="M104" s="663"/>
      <x:c r="N104" s="452"/>
      <x:c r="O104" s="452"/>
    </x:row>
    <x:row r="105" spans="1:15" ht="16.75">
      <x:c r="A105" s="32">
        <x:v>104</x:v>
      </x:c>
      <x:c r="B105" s="582" t="s">
        <x:v>350</x:v>
      </x:c>
      <x:c r="C105" s="101" t="s">
        <x:v>312</x:v>
      </x:c>
      <x:c r="D105" s="241" t="s">
        <x:v>375</x:v>
      </x:c>
      <x:c r="I105" s="452"/>
      <x:c r="J105" s="663"/>
      <x:c r="K105" s="663">
        <x:v>30000</x:v>
      </x:c>
      <x:c r="L105" s="663">
        <x:v>8</x:v>
      </x:c>
      <x:c r="M105" s="663">
        <x:f>K105*L105</x:f>
        <x:v>240000</x:v>
      </x:c>
      <x:c r="N105" s="452"/>
      <x:c r="O105" s="452"/>
    </x:row>
    <x:row r="106" spans="1:15">
      <x:c r="A106" s="32">
        <x:v>105</x:v>
      </x:c>
      <x:c r="B106" s="584" t="s">
        <x:v>175</x:v>
      </x:c>
      <x:c r="C106" s="583" t="s">
        <x:v>172</x:v>
      </x:c>
      <x:c r="D106" s="267" t="s">
        <x:v>378</x:v>
      </x:c>
      <x:c r="I106" s="452"/>
      <x:c r="J106" s="663"/>
      <x:c r="K106" s="663">
        <x:v>10000</x:v>
      </x:c>
      <x:c r="L106" s="663">
        <x:v>8</x:v>
      </x:c>
      <x:c r="M106" s="663">
        <x:f>K106*L106</x:f>
        <x:v>80000</x:v>
      </x:c>
      <x:c r="N106" s="452"/>
      <x:c r="O106" s="452"/>
    </x:row>
    <x:row r="107" spans="1:15">
      <x:c r="A107" s="32">
        <x:v>106</x:v>
      </x:c>
      <x:c r="B107" s="72" t="s">
        <x:v>210</x:v>
      </x:c>
      <x:c r="C107" s="71" t="s">
        <x:v>246</x:v>
      </x:c>
      <x:c r="D107" s="166" t="s">
        <x:v>378</x:v>
      </x:c>
      <x:c r="I107" s="452"/>
      <x:c r="J107" s="663"/>
      <x:c r="K107" s="663"/>
      <x:c r="L107" s="663"/>
      <x:c r="M107" s="663"/>
      <x:c r="N107" s="452"/>
      <x:c r="O107" s="452"/>
    </x:row>
    <x:row r="108" spans="1:15">
      <x:c r="A108" s="32">
        <x:v>107</x:v>
      </x:c>
      <x:c r="B108" s="364" t="s">
        <x:v>182</x:v>
      </x:c>
      <x:c r="C108" s="192" t="s">
        <x:v>218</x:v>
      </x:c>
      <x:c r="D108" s="191" t="s">
        <x:v>375</x:v>
      </x:c>
      <x:c r="I108" s="452"/>
      <x:c r="J108" s="663"/>
      <x:c r="K108" s="663"/>
      <x:c r="L108" s="663"/>
      <x:c r="M108" s="663"/>
      <x:c r="N108" s="452"/>
      <x:c r="O108" s="452"/>
    </x:row>
    <x:row r="109" spans="1:15">
      <x:c r="A109" s="32">
        <x:v>108</x:v>
      </x:c>
      <x:c r="B109" s="265" t="s">
        <x:v>400</x:v>
      </x:c>
      <x:c r="C109" s="583" t="s">
        <x:v>172</x:v>
      </x:c>
      <x:c r="D109" s="267" t="s">
        <x:v>375</x:v>
      </x:c>
      <x:c r="I109" s="452"/>
      <x:c r="J109" s="663"/>
      <x:c r="K109" s="663"/>
      <x:c r="L109" s="663"/>
      <x:c r="M109" s="663"/>
      <x:c r="N109" s="452"/>
      <x:c r="O109" s="452"/>
    </x:row>
    <x:row r="110" spans="1:14">
      <x:c r="A110" s="32">
        <x:v>109</x:v>
      </x:c>
      <x:c r="B110" s="648" t="s">
        <x:v>390</x:v>
      </x:c>
      <x:c r="C110" s="649" t="s">
        <x:v>172</x:v>
      </x:c>
      <x:c r="D110" s="650" t="s">
        <x:v>375</x:v>
      </x:c>
      <x:c r="J110" s="663"/>
      <x:c r="K110" s="663"/>
      <x:c r="L110" s="663"/>
      <x:c r="M110" s="663"/>
      <x:c r="N110" s="452"/>
    </x:row>
    <x:row r="111" spans="1:14" ht="16.75">
      <x:c r="A111" s="32">
        <x:v>110</x:v>
      </x:c>
      <x:c r="B111" s="651" t="s">
        <x:v>393</x:v>
      </x:c>
      <x:c r="C111" s="652" t="s">
        <x:v>275</x:v>
      </x:c>
      <x:c r="D111" s="653" t="s">
        <x:v>378</x:v>
      </x:c>
      <x:c r="J111" s="663"/>
      <x:c r="K111" s="663"/>
      <x:c r="L111" s="663"/>
      <x:c r="M111" s="663"/>
      <x:c r="N111" s="452"/>
    </x:row>
    <x:row r="112" spans="1:14">
      <x:c r="A112" s="32">
        <x:v>111</x:v>
      </x:c>
      <x:c r="B112" s="192" t="s">
        <x:v>276</x:v>
      </x:c>
      <x:c r="C112" s="192" t="s">
        <x:v>237</x:v>
      </x:c>
      <x:c r="D112" s="191" t="s">
        <x:v>378</x:v>
      </x:c>
      <x:c r="J112" s="663"/>
      <x:c r="K112" s="663"/>
      <x:c r="L112" s="663"/>
      <x:c r="M112" s="663"/>
      <x:c r="N112" s="452"/>
    </x:row>
    <x:row r="113" spans="1:14">
      <x:c r="A113" s="32">
        <x:v>112</x:v>
      </x:c>
      <x:c r="B113" s="50" t="s">
        <x:v>344</x:v>
      </x:c>
      <x:c r="C113" s="42" t="s">
        <x:v>367</x:v>
      </x:c>
      <x:c r="D113" s="203" t="s">
        <x:v>378</x:v>
      </x:c>
      <x:c r="J113" s="663"/>
      <x:c r="K113" s="663"/>
      <x:c r="L113" s="663"/>
      <x:c r="M113" s="663">
        <x:v>1680000</x:v>
      </x:c>
      <x:c r="N113" s="452"/>
    </x:row>
    <x:row r="114" spans="1:14">
      <x:c r="A114" s="32">
        <x:v>113</x:v>
      </x:c>
      <x:c r="B114" s="72" t="s">
        <x:v>363</x:v>
      </x:c>
      <x:c r="C114" s="53" t="s">
        <x:v>159</x:v>
      </x:c>
      <x:c r="D114" s="66" t="s">
        <x:v>375</x:v>
      </x:c>
      <x:c r="K114" s="663"/>
      <x:c r="L114" s="663"/>
      <x:c r="M114" s="663">
        <x:v>640000</x:v>
      </x:c>
      <x:c r="N114" s="452"/>
    </x:row>
    <x:row r="115" spans="1:14" ht="16.75">
      <x:c r="A115" s="32">
        <x:v>114</x:v>
      </x:c>
      <x:c r="B115" s="567" t="s">
        <x:v>266</x:v>
      </x:c>
      <x:c r="C115" s="567" t="s">
        <x:v>275</x:v>
      </x:c>
      <x:c r="D115" s="654" t="s">
        <x:v>375</x:v>
      </x:c>
      <x:c r="K115" s="663"/>
      <x:c r="L115" s="663"/>
      <x:c r="M115" s="663">
        <x:f>M113+M114</x:f>
        <x:v>2320000</x:v>
      </x:c>
      <x:c r="N115" s="452"/>
    </x:row>
    <x:row r="116" spans="1:14" ht="16.75">
      <x:c r="A116" s="32">
        <x:v>115</x:v>
      </x:c>
      <x:c r="B116" s="55" t="s">
        <x:v>316</x:v>
      </x:c>
      <x:c r="C116" s="57" t="s">
        <x:v>172</x:v>
      </x:c>
      <x:c r="D116" s="655" t="s">
        <x:v>378</x:v>
      </x:c>
      <x:c r="K116" s="663"/>
      <x:c r="L116" s="663"/>
      <x:c r="M116" s="663">
        <x:f>M115/2</x:f>
        <x:v>1160000</x:v>
      </x:c>
      <x:c r="N116" s="452"/>
    </x:row>
    <x:row r="117" spans="1:14">
      <x:c r="A117" s="32">
        <x:v>116</x:v>
      </x:c>
      <x:c r="B117" s="72" t="s">
        <x:v>287</x:v>
      </x:c>
      <x:c r="C117" s="71" t="s">
        <x:v>184</x:v>
      </x:c>
      <x:c r="D117" s="53" t="s">
        <x:v>378</x:v>
      </x:c>
      <x:c r="K117" s="663"/>
      <x:c r="L117" s="663"/>
      <x:c r="M117" s="663">
        <x:f>M116-300000</x:f>
        <x:v>860000</x:v>
      </x:c>
      <x:c r="N117" s="452"/>
    </x:row>
    <x:row r="118" spans="1:14">
      <x:c r="A118" s="32">
        <x:v>117</x:v>
      </x:c>
      <x:c r="B118" s="72" t="s">
        <x:v>214</x:v>
      </x:c>
      <x:c r="C118" s="71" t="s">
        <x:v>275</x:v>
      </x:c>
      <x:c r="D118" s="187" t="s">
        <x:v>375</x:v>
      </x:c>
      <x:c r="K118" s="663"/>
      <x:c r="L118" s="663"/>
      <x:c r="M118" s="663"/>
      <x:c r="N118" s="452"/>
    </x:row>
    <x:row r="119" spans="1:4">
      <x:c r="A119" s="32">
        <x:v>118</x:v>
      </x:c>
      <x:c r="B119" s="182" t="s">
        <x:v>386</x:v>
      </x:c>
      <x:c r="C119" s="183" t="s">
        <x:v>275</x:v>
      </x:c>
      <x:c r="D119" s="287" t="s">
        <x:v>378</x:v>
      </x:c>
    </x:row>
    <x:row r="120" spans="1:4">
      <x:c r="A120" s="32">
        <x:v>119</x:v>
      </x:c>
      <x:c r="B120" s="72" t="s">
        <x:v>389</x:v>
      </x:c>
      <x:c r="C120" s="71" t="s">
        <x:v>312</x:v>
      </x:c>
      <x:c r="D120" s="166" t="s">
        <x:v>378</x:v>
      </x:c>
    </x:row>
    <x:row r="121" spans="1:4">
      <x:c r="A121" s="32">
        <x:v>120</x:v>
      </x:c>
      <x:c r="B121" s="53" t="s">
        <x:v>213</x:v>
      </x:c>
      <x:c r="C121" s="66" t="s">
        <x:v>275</x:v>
      </x:c>
      <x:c r="D121" s="166" t="s">
        <x:v>375</x:v>
      </x:c>
    </x:row>
  </x:sheetData>
  <x:autoFilter ref="A1:D1">
    <x:sortState columnSort="0" caseSensitive="0" ref="A2:D140">
      <x:sortCondition descending="0" sortBy="value" ref="B2:B140"/>
    </x:sortState>
  </x:autoFilter>
  <x:mergeCells count="2">
    <x:mergeCell ref="K98:K99"/>
    <x:mergeCell ref="K102:K103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 filterMode="1"/>
  <x:dimension ref="B1:D104"/>
  <x:sheetViews>
    <x:sheetView topLeftCell="A48" zoomScaleNormal="100" zoomScaleSheetLayoutView="75" workbookViewId="0">
      <x:selection activeCell="K65" activeCellId="0" sqref="K65:L68"/>
    </x:sheetView>
  </x:sheetViews>
  <x:sheetFormatPr defaultColWidth="9.00390625" defaultRowHeight="16.399999999999999"/>
  <x:cols>
    <x:col min="2" max="4" width="9.00390625" bestFit="1" customWidth="1"/>
  </x:cols>
  <x:sheetData>
    <x:row r="1" spans="2:4">
      <x:c r="B1">
        <x:v>1</x:v>
      </x:c>
      <x:c r="C1">
        <x:v>2</x:v>
      </x:c>
      <x:c r="D1">
        <x:v>3</x:v>
      </x:c>
    </x:row>
    <x:row r="2" spans="2:4">
      <x:c r="B2" s="1348" t="s">
        <x:v>249</x:v>
      </x:c>
      <x:c r="C2" s="1346" t="s">
        <x:v>378</x:v>
      </x:c>
      <x:c r="D2" s="1347">
        <x:v>39868</x:v>
      </x:c>
    </x:row>
    <x:row r="3" spans="2:4">
      <x:c r="B3" s="1342" t="s">
        <x:v>210</x:v>
      </x:c>
      <x:c r="C3" s="1343" t="s">
        <x:v>378</x:v>
      </x:c>
      <x:c r="D3" s="1344">
        <x:v>40428</x:v>
      </x:c>
    </x:row>
    <x:row r="4" spans="2:4">
      <x:c r="B4" s="1342" t="s">
        <x:v>163</x:v>
      </x:c>
      <x:c r="C4" s="1346" t="s">
        <x:v>375</x:v>
      </x:c>
      <x:c r="D4" s="1347">
        <x:v>40708</x:v>
      </x:c>
    </x:row>
    <x:row r="5" spans="2:4">
      <x:c r="B5" s="1342" t="s">
        <x:v>374</x:v>
      </x:c>
      <x:c r="C5" s="1343" t="s">
        <x:v>375</x:v>
      </x:c>
      <x:c r="D5" s="1344">
        <x:v>40911</x:v>
      </x:c>
    </x:row>
    <x:row r="6" spans="2:4">
      <x:c r="B6" s="1342" t="s">
        <x:v>368</x:v>
      </x:c>
      <x:c r="C6" s="1343" t="s">
        <x:v>378</x:v>
      </x:c>
      <x:c r="D6" s="1344">
        <x:v>40978</x:v>
      </x:c>
    </x:row>
    <x:row r="7" spans="2:4">
      <x:c r="B7" s="1342" t="s">
        <x:v>377</x:v>
      </x:c>
      <x:c r="C7" s="1343" t="s">
        <x:v>378</x:v>
      </x:c>
      <x:c r="D7" s="1344">
        <x:v>40993</x:v>
      </x:c>
    </x:row>
    <x:row r="8" spans="2:4">
      <x:c r="B8" s="1342" t="s">
        <x:v>401</x:v>
      </x:c>
      <x:c r="C8" s="1346" t="s">
        <x:v>375</x:v>
      </x:c>
      <x:c r="D8" s="1347">
        <x:v>41013</x:v>
      </x:c>
    </x:row>
    <x:row r="9" spans="2:4">
      <x:c r="B9" s="1342" t="s">
        <x:v>240</x:v>
      </x:c>
      <x:c r="C9" s="1346" t="s">
        <x:v>378</x:v>
      </x:c>
      <x:c r="D9" s="1347">
        <x:v>41093</x:v>
      </x:c>
    </x:row>
    <x:row r="10" spans="2:4">
      <x:c r="B10" s="1342" t="s">
        <x:v>166</x:v>
      </x:c>
      <x:c r="C10" s="1343" t="s">
        <x:v>375</x:v>
      </x:c>
      <x:c r="D10" s="1344">
        <x:v>41097</x:v>
      </x:c>
    </x:row>
    <x:row r="11" spans="2:4">
      <x:c r="B11" s="1342" t="s">
        <x:v>190</x:v>
      </x:c>
      <x:c r="C11" s="1343" t="s">
        <x:v>378</x:v>
      </x:c>
      <x:c r="D11" s="1344">
        <x:v>41154</x:v>
      </x:c>
    </x:row>
    <x:row r="12" spans="2:4">
      <x:c r="B12" s="1342" t="s">
        <x:v>280</x:v>
      </x:c>
      <x:c r="C12" s="1346" t="s">
        <x:v>375</x:v>
      </x:c>
      <x:c r="D12" s="1347">
        <x:v>41221</x:v>
      </x:c>
    </x:row>
    <x:row r="13" spans="2:4">
      <x:c r="B13" s="1342" t="s">
        <x:v>188</x:v>
      </x:c>
      <x:c r="C13" s="1343" t="s">
        <x:v>375</x:v>
      </x:c>
      <x:c r="D13" s="1344">
        <x:v>41281</x:v>
      </x:c>
    </x:row>
    <x:row r="14" spans="2:4">
      <x:c r="B14" s="1342" t="s">
        <x:v>239</x:v>
      </x:c>
      <x:c r="C14" s="1343" t="s">
        <x:v>378</x:v>
      </x:c>
      <x:c r="D14" s="1344">
        <x:v>41302</x:v>
      </x:c>
    </x:row>
    <x:row r="15" spans="2:4">
      <x:c r="B15" s="1342" t="s">
        <x:v>179</x:v>
      </x:c>
      <x:c r="C15" s="1343" t="s">
        <x:v>375</x:v>
      </x:c>
      <x:c r="D15" s="1344">
        <x:v>41372</x:v>
      </x:c>
    </x:row>
    <x:row r="16" spans="2:4">
      <x:c r="B16" s="1342" t="s">
        <x:v>294</x:v>
      </x:c>
      <x:c r="C16" s="1343" t="s">
        <x:v>375</x:v>
      </x:c>
      <x:c r="D16" s="1344">
        <x:v>41420</x:v>
      </x:c>
    </x:row>
    <x:row r="17" spans="2:4">
      <x:c r="B17" s="1342" t="s">
        <x:v>219</x:v>
      </x:c>
      <x:c r="C17" s="1343" t="s">
        <x:v>378</x:v>
      </x:c>
      <x:c r="D17" s="1344">
        <x:v>41430</x:v>
      </x:c>
    </x:row>
    <x:row r="18" spans="2:4">
      <x:c r="B18" s="1342" t="s">
        <x:v>219</x:v>
      </x:c>
      <x:c r="C18" s="1343" t="s">
        <x:v>378</x:v>
      </x:c>
      <x:c r="D18" s="1344">
        <x:v>41430</x:v>
      </x:c>
    </x:row>
    <x:row r="19" spans="2:4">
      <x:c r="B19" s="1342" t="s">
        <x:v>173</x:v>
      </x:c>
      <x:c r="C19" s="1343" t="s">
        <x:v>375</x:v>
      </x:c>
      <x:c r="D19" s="1344">
        <x:v>41457</x:v>
      </x:c>
    </x:row>
    <x:row r="20" spans="2:4">
      <x:c r="B20" s="1342" t="s">
        <x:v>197</x:v>
      </x:c>
      <x:c r="C20" s="1343" t="s">
        <x:v>375</x:v>
      </x:c>
      <x:c r="D20" s="1344">
        <x:v>41474</x:v>
      </x:c>
    </x:row>
    <x:row r="21" spans="2:4">
      <x:c r="B21" s="1349" t="s">
        <x:v>346</x:v>
      </x:c>
      <x:c r="C21" s="1350" t="s">
        <x:v>378</x:v>
      </x:c>
      <x:c r="D21" s="1351">
        <x:v>41507</x:v>
      </x:c>
    </x:row>
    <x:row r="22" spans="2:4">
      <x:c r="B22" s="1342" t="s">
        <x:v>267</x:v>
      </x:c>
      <x:c r="C22" s="1343" t="s">
        <x:v>378</x:v>
      </x:c>
      <x:c r="D22" s="1344">
        <x:v>41514</x:v>
      </x:c>
    </x:row>
    <x:row r="23" spans="2:4">
      <x:c r="B23" s="1342" t="s">
        <x:v>380</x:v>
      </x:c>
      <x:c r="C23" s="1343" t="s">
        <x:v>375</x:v>
      </x:c>
      <x:c r="D23" s="1344">
        <x:v>41533</x:v>
      </x:c>
    </x:row>
    <x:row r="24" spans="2:4">
      <x:c r="B24" s="1342" t="s">
        <x:v>352</x:v>
      </x:c>
      <x:c r="C24" s="1343" t="s">
        <x:v>375</x:v>
      </x:c>
      <x:c r="D24" s="1344">
        <x:v>41571</x:v>
      </x:c>
    </x:row>
    <x:row r="25" spans="2:4">
      <x:c r="B25" s="1342" t="s">
        <x:v>402</x:v>
      </x:c>
      <x:c r="C25" s="1343" t="s">
        <x:v>375</x:v>
      </x:c>
      <x:c r="D25" s="1344">
        <x:v>41582</x:v>
      </x:c>
    </x:row>
    <x:row r="26" spans="2:4">
      <x:c r="B26" s="1342" t="s">
        <x:v>266</x:v>
      </x:c>
      <x:c r="C26" s="1343" t="s">
        <x:v>375</x:v>
      </x:c>
      <x:c r="D26" s="1344">
        <x:v>41599</x:v>
      </x:c>
    </x:row>
    <x:row r="27" spans="2:4">
      <x:c r="B27" s="1342" t="s">
        <x:v>393</x:v>
      </x:c>
      <x:c r="C27" s="1346" t="s">
        <x:v>378</x:v>
      </x:c>
      <x:c r="D27" s="1347">
        <x:v>41601</x:v>
      </x:c>
    </x:row>
    <x:row r="28" spans="2:4">
      <x:c r="B28" s="1342" t="s">
        <x:v>353</x:v>
      </x:c>
      <x:c r="C28" s="1343" t="s">
        <x:v>375</x:v>
      </x:c>
      <x:c r="D28" s="1344">
        <x:v>41676</x:v>
      </x:c>
    </x:row>
    <x:row r="29" spans="2:4">
      <x:c r="B29" s="1342" t="s">
        <x:v>185</x:v>
      </x:c>
      <x:c r="C29" s="1346" t="s">
        <x:v>375</x:v>
      </x:c>
      <x:c r="D29" s="1347">
        <x:v>41737</x:v>
      </x:c>
    </x:row>
    <x:row r="30" spans="2:4">
      <x:c r="B30" s="1349" t="s">
        <x:v>250</x:v>
      </x:c>
      <x:c r="C30" s="1350" t="s">
        <x:v>375</x:v>
      </x:c>
      <x:c r="D30" s="1351">
        <x:v>41746</x:v>
      </x:c>
    </x:row>
    <x:row r="31" spans="2:4">
      <x:c r="B31" s="1342" t="s">
        <x:v>198</x:v>
      </x:c>
      <x:c r="C31" s="1343" t="s">
        <x:v>378</x:v>
      </x:c>
      <x:c r="D31" s="1344">
        <x:v>41746</x:v>
      </x:c>
    </x:row>
    <x:row r="32" spans="2:4">
      <x:c r="B32" s="1342" t="s">
        <x:v>169</x:v>
      </x:c>
      <x:c r="C32" s="1343" t="s">
        <x:v>375</x:v>
      </x:c>
      <x:c r="D32" s="1344">
        <x:v>41781</x:v>
      </x:c>
    </x:row>
    <x:row r="33" spans="2:4">
      <x:c r="B33" s="1342" t="s">
        <x:v>394</x:v>
      </x:c>
      <x:c r="C33" s="1343" t="s">
        <x:v>378</x:v>
      </x:c>
      <x:c r="D33" s="1344">
        <x:v>41796</x:v>
      </x:c>
    </x:row>
    <x:row r="34" spans="2:4">
      <x:c r="B34" s="1342" t="s">
        <x:v>381</x:v>
      </x:c>
      <x:c r="C34" s="1346" t="s">
        <x:v>375</x:v>
      </x:c>
      <x:c r="D34" s="1347">
        <x:v>41865</x:v>
      </x:c>
    </x:row>
    <x:row r="35" spans="2:4">
      <x:c r="B35" s="1342" t="s">
        <x:v>171</x:v>
      </x:c>
      <x:c r="C35" s="1346" t="s">
        <x:v>378</x:v>
      </x:c>
      <x:c r="D35" s="1347">
        <x:v>41885</x:v>
      </x:c>
    </x:row>
    <x:row r="36" spans="2:4">
      <x:c r="B36" s="1342" t="s">
        <x:v>183</x:v>
      </x:c>
      <x:c r="C36" s="1346" t="s">
        <x:v>375</x:v>
      </x:c>
      <x:c r="D36" s="1347">
        <x:v>41885</x:v>
      </x:c>
    </x:row>
    <x:row r="37" spans="2:4">
      <x:c r="B37" s="1342" t="s">
        <x:v>192</x:v>
      </x:c>
      <x:c r="C37" s="1343" t="s">
        <x:v>375</x:v>
      </x:c>
      <x:c r="D37" s="1344">
        <x:v>41898</x:v>
      </x:c>
    </x:row>
    <x:row r="38" spans="2:4">
      <x:c r="B38" s="1342" t="s">
        <x:v>387</x:v>
      </x:c>
      <x:c r="C38" s="1343" t="s">
        <x:v>378</x:v>
      </x:c>
      <x:c r="D38" s="1344">
        <x:v>41930</x:v>
      </x:c>
    </x:row>
    <x:row r="39" spans="2:4">
      <x:c r="B39" s="1342" t="s">
        <x:v>355</x:v>
      </x:c>
      <x:c r="C39" s="1346" t="s">
        <x:v>378</x:v>
      </x:c>
      <x:c r="D39" s="1347">
        <x:v>41931</x:v>
      </x:c>
    </x:row>
    <x:row r="40" spans="2:4">
      <x:c r="B40" s="1352" t="s">
        <x:v>216</x:v>
      </x:c>
      <x:c r="C40" s="1353" t="s">
        <x:v>378</x:v>
      </x:c>
      <x:c r="D40" s="1354">
        <x:v>41996</x:v>
      </x:c>
    </x:row>
    <x:row r="41" spans="2:4">
      <x:c r="B41" s="1342" t="s">
        <x:v>222</x:v>
      </x:c>
      <x:c r="C41" s="1343" t="s">
        <x:v>378</x:v>
      </x:c>
      <x:c r="D41" s="1344">
        <x:v>42088</x:v>
      </x:c>
    </x:row>
    <x:row r="42" spans="2:4">
      <x:c r="B42" s="1342" t="s">
        <x:v>321</x:v>
      </x:c>
      <x:c r="C42" s="1343" t="s">
        <x:v>375</x:v>
      </x:c>
      <x:c r="D42" s="1344">
        <x:v>42113</x:v>
      </x:c>
    </x:row>
    <x:row r="43" spans="2:4">
      <x:c r="B43" s="1342" t="s">
        <x:v>403</x:v>
      </x:c>
      <x:c r="C43" s="1343" t="s">
        <x:v>375</x:v>
      </x:c>
      <x:c r="D43" s="1344">
        <x:v>42115</x:v>
      </x:c>
    </x:row>
    <x:row r="44" spans="2:4">
      <x:c r="B44" s="1348" t="s">
        <x:v>181</x:v>
      </x:c>
      <x:c r="C44" s="1343" t="s">
        <x:v>378</x:v>
      </x:c>
      <x:c r="D44" s="1344">
        <x:v>42270</x:v>
      </x:c>
    </x:row>
    <x:row r="45" spans="2:4">
      <x:c r="B45" s="1342" t="s">
        <x:v>223</x:v>
      </x:c>
      <x:c r="C45" s="1343" t="s">
        <x:v>375</x:v>
      </x:c>
      <x:c r="D45" s="1344">
        <x:v>42335</x:v>
      </x:c>
    </x:row>
    <x:row r="46" spans="2:4">
      <x:c r="B46" s="1342" t="s">
        <x:v>196</x:v>
      </x:c>
      <x:c r="C46" s="1343" t="s">
        <x:v>375</x:v>
      </x:c>
      <x:c r="D46" s="1344">
        <x:v>42375</x:v>
      </x:c>
    </x:row>
    <x:row r="47" spans="2:4">
      <x:c r="B47" s="1342" t="s">
        <x:v>260</x:v>
      </x:c>
      <x:c r="C47" s="1343" t="s">
        <x:v>375</x:v>
      </x:c>
      <x:c r="D47" s="1344">
        <x:v>42381</x:v>
      </x:c>
    </x:row>
    <x:row r="48" spans="2:4">
      <x:c r="B48" s="1342" t="s">
        <x:v>252</x:v>
      </x:c>
      <x:c r="C48" s="1343" t="s">
        <x:v>375</x:v>
      </x:c>
      <x:c r="D48" s="1344">
        <x:v>42391</x:v>
      </x:c>
    </x:row>
    <x:row r="49" spans="2:4">
      <x:c r="B49" s="1342" t="s">
        <x:v>354</x:v>
      </x:c>
      <x:c r="C49" s="1343" t="s">
        <x:v>378</x:v>
      </x:c>
      <x:c r="D49" s="1344">
        <x:v>42415</x:v>
      </x:c>
    </x:row>
    <x:row r="50" spans="2:4">
      <x:c r="B50" s="1342" t="s">
        <x:v>363</x:v>
      </x:c>
      <x:c r="C50" s="1343" t="s">
        <x:v>375</x:v>
      </x:c>
      <x:c r="D50" s="1344">
        <x:v>42451</x:v>
      </x:c>
    </x:row>
    <x:row r="51" spans="2:4">
      <x:c r="B51" s="1342" t="s">
        <x:v>399</x:v>
      </x:c>
      <x:c r="C51" s="1343" t="s">
        <x:v>375</x:v>
      </x:c>
      <x:c r="D51" s="1344">
        <x:v>42453</x:v>
      </x:c>
    </x:row>
    <x:row r="52" spans="2:4">
      <x:c r="B52" s="1342" t="s">
        <x:v>343</x:v>
      </x:c>
      <x:c r="C52" s="1343" t="s">
        <x:v>375</x:v>
      </x:c>
      <x:c r="D52" s="1344">
        <x:v>42507</x:v>
      </x:c>
    </x:row>
    <x:row r="53" spans="2:4">
      <x:c r="B53" s="1348" t="s">
        <x:v>340</x:v>
      </x:c>
      <x:c r="C53" s="1343" t="s">
        <x:v>378</x:v>
      </x:c>
      <x:c r="D53" s="1344">
        <x:v>42591</x:v>
      </x:c>
    </x:row>
    <x:row r="54" spans="2:4">
      <x:c r="B54" s="1342" t="s">
        <x:v>206</x:v>
      </x:c>
      <x:c r="C54" s="1343" t="s">
        <x:v>378</x:v>
      </x:c>
      <x:c r="D54" s="1344">
        <x:v>42599</x:v>
      </x:c>
    </x:row>
    <x:row r="55" spans="2:4">
      <x:c r="B55" s="1342" t="s">
        <x:v>180</x:v>
      </x:c>
      <x:c r="C55" s="1343" t="s">
        <x:v>378</x:v>
      </x:c>
      <x:c r="D55" s="1344">
        <x:v>42624</x:v>
      </x:c>
    </x:row>
    <x:row r="56" spans="2:4">
      <x:c r="B56" s="1342" t="s">
        <x:v>241</x:v>
      </x:c>
      <x:c r="C56" s="1343" t="s">
        <x:v>375</x:v>
      </x:c>
      <x:c r="D56" s="1344">
        <x:v>42682</x:v>
      </x:c>
    </x:row>
    <x:row r="57" spans="2:4">
      <x:c r="B57" s="1342" t="s">
        <x:v>356</x:v>
      </x:c>
      <x:c r="C57" s="1343" t="s">
        <x:v>378</x:v>
      </x:c>
      <x:c r="D57" s="1344">
        <x:v>42698</x:v>
      </x:c>
    </x:row>
    <x:row r="58" spans="2:4">
      <x:c r="B58" s="1342" t="s">
        <x:v>200</x:v>
      </x:c>
      <x:c r="C58" s="1343" t="s">
        <x:v>378</x:v>
      </x:c>
      <x:c r="D58" s="1344">
        <x:v>42704</x:v>
      </x:c>
    </x:row>
    <x:row r="59" spans="2:4">
      <x:c r="B59" s="1342" t="s">
        <x:v>193</x:v>
      </x:c>
      <x:c r="C59" s="1343" t="s">
        <x:v>378</x:v>
      </x:c>
      <x:c r="D59" s="1344">
        <x:v>42729</x:v>
      </x:c>
    </x:row>
    <x:row r="60" spans="2:4">
      <x:c r="B60" s="1345" t="s">
        <x:v>181</x:v>
      </x:c>
      <x:c r="C60" s="1343" t="s">
        <x:v>378</x:v>
      </x:c>
      <x:c r="D60" s="1344">
        <x:v>42737</x:v>
      </x:c>
    </x:row>
    <x:row r="61" spans="2:4">
      <x:c r="B61" s="1342" t="s">
        <x:v>385</x:v>
      </x:c>
      <x:c r="C61" s="1346" t="s">
        <x:v>375</x:v>
      </x:c>
      <x:c r="D61" s="1347">
        <x:v>42742</x:v>
      </x:c>
    </x:row>
    <x:row r="62" spans="2:4">
      <x:c r="B62" s="1342" t="s">
        <x:v>357</x:v>
      </x:c>
      <x:c r="C62" s="1343" t="s">
        <x:v>375</x:v>
      </x:c>
      <x:c r="D62" s="1344">
        <x:v>42816</x:v>
      </x:c>
    </x:row>
    <x:row r="63" spans="2:4">
      <x:c r="B63" s="1342" t="s">
        <x:v>194</x:v>
      </x:c>
      <x:c r="C63" s="1346" t="s">
        <x:v>378</x:v>
      </x:c>
      <x:c r="D63" s="1347">
        <x:v>42832</x:v>
      </x:c>
    </x:row>
    <x:row r="64" spans="2:4">
      <x:c r="B64" s="1342" t="s">
        <x:v>217</x:v>
      </x:c>
      <x:c r="C64" s="1343" t="s">
        <x:v>378</x:v>
      </x:c>
      <x:c r="D64" s="1344">
        <x:v>42833</x:v>
      </x:c>
    </x:row>
    <x:row r="65" spans="2:4">
      <x:c r="B65" s="1348" t="s">
        <x:v>359</x:v>
      </x:c>
      <x:c r="C65" s="1343" t="s">
        <x:v>375</x:v>
      </x:c>
      <x:c r="D65" s="1344">
        <x:v>42876</x:v>
      </x:c>
    </x:row>
    <x:row r="66" spans="2:4">
      <x:c r="B66" s="1342" t="s">
        <x:v>336</x:v>
      </x:c>
      <x:c r="C66" s="1343" t="s">
        <x:v>378</x:v>
      </x:c>
      <x:c r="D66" s="1344">
        <x:v>42881</x:v>
      </x:c>
    </x:row>
    <x:row r="67" spans="2:4">
      <x:c r="B67" s="1342" t="s">
        <x:v>308</x:v>
      </x:c>
      <x:c r="C67" s="1343" t="s">
        <x:v>378</x:v>
      </x:c>
      <x:c r="D67" s="1344">
        <x:v>42891</x:v>
      </x:c>
    </x:row>
    <x:row r="68" spans="2:4">
      <x:c r="B68" s="1342" t="s">
        <x:v>347</x:v>
      </x:c>
      <x:c r="C68" s="1343" t="s">
        <x:v>378</x:v>
      </x:c>
      <x:c r="D68" s="1344">
        <x:v>42898</x:v>
      </x:c>
    </x:row>
    <x:row r="69" spans="2:4">
      <x:c r="B69" s="1342" t="s">
        <x:v>390</x:v>
      </x:c>
      <x:c r="C69" s="1343" t="s">
        <x:v>375</x:v>
      </x:c>
      <x:c r="D69" s="1344">
        <x:v>42908</x:v>
      </x:c>
    </x:row>
    <x:row r="70" spans="2:4">
      <x:c r="B70" s="1342" t="s">
        <x:v>400</x:v>
      </x:c>
      <x:c r="C70" s="1343" t="s">
        <x:v>375</x:v>
      </x:c>
      <x:c r="D70" s="1344">
        <x:v>42908</x:v>
      </x:c>
    </x:row>
    <x:row r="71" spans="2:4">
      <x:c r="B71" s="1342" t="s">
        <x:v>316</x:v>
      </x:c>
      <x:c r="C71" s="1343" t="s">
        <x:v>378</x:v>
      </x:c>
      <x:c r="D71" s="1344">
        <x:v>42914</x:v>
      </x:c>
    </x:row>
    <x:row r="72" spans="2:4">
      <x:c r="B72" s="1342" t="s">
        <x:v>391</x:v>
      </x:c>
      <x:c r="C72" s="1343" t="s">
        <x:v>375</x:v>
      </x:c>
      <x:c r="D72" s="1344">
        <x:v>42962</x:v>
      </x:c>
    </x:row>
    <x:row r="73" spans="2:4">
      <x:c r="B73" s="1352" t="s">
        <x:v>373</x:v>
      </x:c>
      <x:c r="C73" s="1353" t="s">
        <x:v>378</x:v>
      </x:c>
      <x:c r="D73" s="1354">
        <x:v>42966</x:v>
      </x:c>
    </x:row>
    <x:row r="74" spans="2:4">
      <x:c r="B74" s="1342" t="s">
        <x:v>186</x:v>
      </x:c>
      <x:c r="C74" s="1343" t="s">
        <x:v>378</x:v>
      </x:c>
      <x:c r="D74" s="1344">
        <x:v>43003</x:v>
      </x:c>
    </x:row>
    <x:row r="75" spans="2:4">
      <x:c r="B75" s="1342" t="s">
        <x:v>175</x:v>
      </x:c>
      <x:c r="C75" s="1343" t="s">
        <x:v>378</x:v>
      </x:c>
      <x:c r="D75" s="1344">
        <x:v>43016</x:v>
      </x:c>
    </x:row>
    <x:row r="76" spans="2:4">
      <x:c r="B76" s="1342" t="s">
        <x:v>207</x:v>
      </x:c>
      <x:c r="C76" s="1343" t="s">
        <x:v>378</x:v>
      </x:c>
      <x:c r="D76" s="1344">
        <x:v>43024</x:v>
      </x:c>
    </x:row>
    <x:row r="77" spans="2:4">
      <x:c r="B77" s="1342" t="s">
        <x:v>392</x:v>
      </x:c>
      <x:c r="C77" s="1343" t="s">
        <x:v>375</x:v>
      </x:c>
      <x:c r="D77" s="1344">
        <x:v>43030</x:v>
      </x:c>
    </x:row>
    <x:row r="78" spans="2:4">
      <x:c r="B78" s="1352" t="s">
        <x:v>379</x:v>
      </x:c>
      <x:c r="C78" s="1353" t="s">
        <x:v>375</x:v>
      </x:c>
      <x:c r="D78" s="1354">
        <x:v>43089</x:v>
      </x:c>
    </x:row>
    <x:row r="79" spans="2:4">
      <x:c r="B79" s="1342" t="s">
        <x:v>372</x:v>
      </x:c>
      <x:c r="C79" s="1343" t="s">
        <x:v>375</x:v>
      </x:c>
      <x:c r="D79" s="1344">
        <x:v>43104</x:v>
      </x:c>
    </x:row>
    <x:row r="80" spans="2:4">
      <x:c r="B80" s="1342" t="s">
        <x:v>177</x:v>
      </x:c>
      <x:c r="C80" s="1343" t="s">
        <x:v>378</x:v>
      </x:c>
      <x:c r="D80" s="1344">
        <x:v>43124</x:v>
      </x:c>
    </x:row>
    <x:row r="81" spans="2:4">
      <x:c r="B81" s="1342" t="s">
        <x:v>212</x:v>
      </x:c>
      <x:c r="C81" s="1343" t="s">
        <x:v>375</x:v>
      </x:c>
      <x:c r="D81" s="1344">
        <x:v>43140</x:v>
      </x:c>
    </x:row>
    <x:row r="82" spans="2:4">
      <x:c r="B82" s="1342" t="s">
        <x:v>161</x:v>
      </x:c>
      <x:c r="C82" s="1346" t="s">
        <x:v>375</x:v>
      </x:c>
      <x:c r="D82" s="1347">
        <x:v>43162</x:v>
      </x:c>
    </x:row>
    <x:row r="83" spans="2:4">
      <x:c r="B83" s="1342" t="s">
        <x:v>314</x:v>
      </x:c>
      <x:c r="C83" s="1343" t="s">
        <x:v>375</x:v>
      </x:c>
      <x:c r="D83" s="1344">
        <x:v>43206</x:v>
      </x:c>
    </x:row>
    <x:row r="84" spans="2:4">
      <x:c r="B84" s="1342" t="s">
        <x:v>396</x:v>
      </x:c>
      <x:c r="C84" s="1343" t="s">
        <x:v>375</x:v>
      </x:c>
      <x:c r="D84" s="1344">
        <x:v>43261</x:v>
      </x:c>
    </x:row>
    <x:row r="85" spans="2:4">
      <x:c r="B85" s="1342" t="s">
        <x:v>257</x:v>
      </x:c>
      <x:c r="C85" s="1343" t="s">
        <x:v>375</x:v>
      </x:c>
      <x:c r="D85" s="1344">
        <x:v>43390</x:v>
      </x:c>
    </x:row>
    <x:row r="86" spans="2:4">
      <x:c r="B86" s="1342" t="s">
        <x:v>358</x:v>
      </x:c>
      <x:c r="C86" s="1343" t="s">
        <x:v>378</x:v>
      </x:c>
      <x:c r="D86" s="1344">
        <x:v>43413</x:v>
      </x:c>
    </x:row>
    <x:row r="87" spans="2:4">
      <x:c r="B87" s="1342" t="s">
        <x:v>389</x:v>
      </x:c>
      <x:c r="C87" s="1343" t="s">
        <x:v>378</x:v>
      </x:c>
      <x:c r="D87" s="1344">
        <x:v>43467</x:v>
      </x:c>
    </x:row>
    <x:row r="88" spans="2:4">
      <x:c r="B88" s="1345" t="s">
        <x:v>359</x:v>
      </x:c>
      <x:c r="C88" s="1343" t="s">
        <x:v>378</x:v>
      </x:c>
      <x:c r="D88" s="1344">
        <x:v>43487</x:v>
      </x:c>
    </x:row>
    <x:row r="89" spans="2:4">
      <x:c r="B89" s="1342" t="s">
        <x:v>350</x:v>
      </x:c>
      <x:c r="C89" s="1343" t="s">
        <x:v>375</x:v>
      </x:c>
      <x:c r="D89" s="1344">
        <x:v>43494</x:v>
      </x:c>
    </x:row>
    <x:row r="90" spans="2:4">
      <x:c r="B90" s="1342" t="s">
        <x:v>255</x:v>
      </x:c>
      <x:c r="C90" s="1346" t="s">
        <x:v>375</x:v>
      </x:c>
      <x:c r="D90" s="1347">
        <x:v>43494</x:v>
      </x:c>
    </x:row>
    <x:row r="91" spans="2:4">
      <x:c r="B91" s="1342" t="s">
        <x:v>236</x:v>
      </x:c>
      <x:c r="C91" s="1343" t="s">
        <x:v>378</x:v>
      </x:c>
      <x:c r="D91" s="1344">
        <x:v>43496</x:v>
      </x:c>
    </x:row>
    <x:row r="92" spans="2:4">
      <x:c r="B92" s="1352" t="s">
        <x:v>242</x:v>
      </x:c>
      <x:c r="C92" s="1353" t="s">
        <x:v>378</x:v>
      </x:c>
      <x:c r="D92" s="1354">
        <x:v>43514</x:v>
      </x:c>
    </x:row>
    <x:row r="93" spans="2:4">
      <x:c r="B93" s="1342" t="s">
        <x:v>162</x:v>
      </x:c>
      <x:c r="C93" s="1343" t="s">
        <x:v>378</x:v>
      </x:c>
      <x:c r="D93" s="1344">
        <x:v>43635</x:v>
      </x:c>
    </x:row>
    <x:row r="94" spans="2:4">
      <x:c r="B94" s="1342" t="s">
        <x:v>170</x:v>
      </x:c>
      <x:c r="C94" s="1343" t="s">
        <x:v>378</x:v>
      </x:c>
      <x:c r="D94" s="1344">
        <x:v>43641</x:v>
      </x:c>
    </x:row>
    <x:row r="95" spans="2:4">
      <x:c r="B95" s="1342" t="s">
        <x:v>208</x:v>
      </x:c>
      <x:c r="C95" s="1346" t="s">
        <x:v>378</x:v>
      </x:c>
      <x:c r="D95" s="1347">
        <x:v>43712</x:v>
      </x:c>
    </x:row>
    <x:row r="96" spans="2:4">
      <x:c r="B96" s="1342" t="s">
        <x:v>208</x:v>
      </x:c>
      <x:c r="C96" s="1346" t="s">
        <x:v>378</x:v>
      </x:c>
      <x:c r="D96" s="1347">
        <x:v>43712</x:v>
      </x:c>
    </x:row>
    <x:row r="97" spans="2:4">
      <x:c r="B97" s="1342" t="s">
        <x:v>229</x:v>
      </x:c>
      <x:c r="C97" s="1343" t="s">
        <x:v>375</x:v>
      </x:c>
      <x:c r="D97" s="1344">
        <x:v>43766</x:v>
      </x:c>
    </x:row>
    <x:row r="98" spans="2:4">
      <x:c r="B98" s="1342" t="s">
        <x:v>395</x:v>
      </x:c>
      <x:c r="C98" s="1343" t="s">
        <x:v>375</x:v>
      </x:c>
      <x:c r="D98" s="1344">
        <x:v>43823</x:v>
      </x:c>
    </x:row>
    <x:row r="99" spans="2:4">
      <x:c r="B99" s="1342" t="s">
        <x:v>191</x:v>
      </x:c>
      <x:c r="C99" s="1343" t="s">
        <x:v>2</x:v>
      </x:c>
      <x:c r="D99" s="1344">
        <x:v>43833</x:v>
      </x:c>
    </x:row>
    <x:row r="100" spans="2:4">
      <x:c r="B100" s="1355" t="s">
        <x:v>253</x:v>
      </x:c>
      <x:c r="C100" s="1356" t="s">
        <x:v>378</x:v>
      </x:c>
      <x:c r="D100" s="1357">
        <x:v>43955</x:v>
      </x:c>
    </x:row>
    <x:row r="101" spans="2:4">
      <x:c r="B101" s="1342" t="s">
        <x:v>362</x:v>
      </x:c>
      <x:c r="C101" s="1346" t="s">
        <x:v>378</x:v>
      </x:c>
      <x:c r="D101" s="1347">
        <x:v>44098</x:v>
      </x:c>
    </x:row>
    <x:row r="102" spans="2:4">
      <x:c r="B102" s="1342" t="s">
        <x:v>348</x:v>
      </x:c>
      <x:c r="C102" s="1346" t="s">
        <x:v>375</x:v>
      </x:c>
      <x:c r="D102" s="1347">
        <x:v>44098</x:v>
      </x:c>
    </x:row>
    <x:row r="103" spans="2:4">
      <x:c r="B103" s="1342" t="s">
        <x:v>204</x:v>
      </x:c>
      <x:c r="C103" s="1343" t="s">
        <x:v>378</x:v>
      </x:c>
      <x:c r="D103" s="1344">
        <x:v>44113</x:v>
      </x:c>
    </x:row>
    <x:row r="104" spans="2:4">
      <x:c r="B104" s="1342" t="s">
        <x:v>370</x:v>
      </x:c>
      <x:c r="C104" s="1343" t="s">
        <x:v>375</x:v>
      </x:c>
      <x:c r="D104" s="1343"/>
    </x:row>
  </x:sheetData>
  <x:autoFilter ref="B1:D1">
    <x:sortState columnSort="0" caseSensitive="0" ref="B2:D104">
      <x:sortCondition descending="0" sortBy="value" ref="D2:D104"/>
    </x:sortState>
  </x:autoFilter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월</vt:lpstr>
      <vt:lpstr>화</vt:lpstr>
      <vt:lpstr>수</vt:lpstr>
      <vt:lpstr>목</vt:lpstr>
      <vt:lpstr>금</vt:lpstr>
      <vt:lpstr>토</vt:lpstr>
      <vt:lpstr>일</vt:lpstr>
      <vt:lpstr>11월 미결제 현황</vt:lpstr>
      <vt:lpstr>Sheet1</vt:lpstr>
      <vt:lpstr>Sheet2</vt:lpstr>
      <vt:lpstr>Sheet3</vt:lpstr>
    </vt:vector>
  </ep:TitlesOfParts>
  <ep:TotalTime>43327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양병석</dc:creator>
  <cp:lastModifiedBy>김정민</cp:lastModifiedBy>
  <cp:revision>2096</cp:revision>
  <cp:lastPrinted>2023-07-21T02:21:54.000</cp:lastPrinted>
  <dcterms:created xsi:type="dcterms:W3CDTF">2018-01-21T02:35:52.000</dcterms:created>
  <dcterms:modified xsi:type="dcterms:W3CDTF">2025-11-06T10:04:15.088</dcterms:modified>
  <cp:version>1100.0100.01</cp:version>
</cp:coreProperties>
</file>